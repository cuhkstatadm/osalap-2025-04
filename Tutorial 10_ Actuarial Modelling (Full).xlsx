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String Trap (Teacher)" sheetId="1" r:id="rId5"/>
    <sheet state="visible" name="2. SUMPRODUCT (Teacher)" sheetId="2" r:id="rId6"/>
    <sheet state="visible" name="3. Integrated Model (Teacher)" sheetId="3" r:id="rId7"/>
    <sheet state="visible" name="4. Pricing &amp; Sim (Teacher)" sheetId="4" r:id="rId8"/>
    <sheet state="visible" name="1. String Trap (Student)" sheetId="5" r:id="rId9"/>
    <sheet state="visible" name="2. SUMPRODUCT (Student)" sheetId="6" r:id="rId10"/>
    <sheet state="visible" name="3. Integrated Model (Student)" sheetId="7" r:id="rId11"/>
    <sheet state="visible" name="4. Pricing &amp; Sim (Student)" sheetId="8" r:id="rId12"/>
  </sheets>
  <definedNames>
    <definedName name="Interest_Rate">'3. Integrated Model (Student)'!$B$2</definedName>
    <definedName name="Review_Threshold">'3. Integrated Model (Student)'!$B$3</definedName>
  </definedNames>
  <calcPr/>
</workbook>
</file>

<file path=xl/sharedStrings.xml><?xml version="1.0" encoding="utf-8"?>
<sst xmlns="http://schemas.openxmlformats.org/spreadsheetml/2006/main" count="122" uniqueCount="49">
  <si>
    <t>Input</t>
  </si>
  <si>
    <t>Scenario</t>
  </si>
  <si>
    <t>Pricing Input</t>
  </si>
  <si>
    <t>ISNUMBER?</t>
  </si>
  <si>
    <t>Match?</t>
  </si>
  <si>
    <t>Value</t>
  </si>
  <si>
    <t>Simulating a Risk Event</t>
  </si>
  <si>
    <t>Amount (B)</t>
  </si>
  <si>
    <t>Probability (C)</t>
  </si>
  <si>
    <t>Outcome</t>
  </si>
  <si>
    <t>Expected Amount (D)</t>
  </si>
  <si>
    <t>Interest rate</t>
  </si>
  <si>
    <t>Item A</t>
  </si>
  <si>
    <t>Total Expected Cost</t>
  </si>
  <si>
    <t>Did 10% risk trigger?</t>
  </si>
  <si>
    <t>Risk Level</t>
  </si>
  <si>
    <t>Probability</t>
  </si>
  <si>
    <t>Review threshold</t>
  </si>
  <si>
    <t>Low</t>
  </si>
  <si>
    <t>Medium</t>
  </si>
  <si>
    <t>High</t>
  </si>
  <si>
    <t>500</t>
  </si>
  <si>
    <t>Item</t>
  </si>
  <si>
    <t>Item B</t>
  </si>
  <si>
    <t>Year</t>
  </si>
  <si>
    <t>Item C</t>
  </si>
  <si>
    <t>Risk</t>
  </si>
  <si>
    <t>Number of Clients</t>
  </si>
  <si>
    <t>Future Cost</t>
  </si>
  <si>
    <t>Premium per Client</t>
  </si>
  <si>
    <t>Item D</t>
  </si>
  <si>
    <t>Prob.</t>
  </si>
  <si>
    <t>DF</t>
  </si>
  <si>
    <t>EPV</t>
  </si>
  <si>
    <t>Instructions: Press F9 (or Backspace in an empty cell) to force recalculation.</t>
  </si>
  <si>
    <t>Flag</t>
  </si>
  <si>
    <t>Total (SUMPRODUCT):</t>
  </si>
  <si>
    <t>Total Profit</t>
  </si>
  <si>
    <t>Item E</t>
  </si>
  <si>
    <t>Summary Question</t>
  </si>
  <si>
    <t>Total expected present value</t>
  </si>
  <si>
    <t>Number of review items</t>
  </si>
  <si>
    <t>Total EPV for high-risk items</t>
  </si>
  <si>
    <t>Number of high-risk items</t>
  </si>
  <si>
    <t>Model Check</t>
  </si>
  <si>
    <t>Status</t>
  </si>
  <si>
    <t>Probability validity check (Row 7)</t>
  </si>
  <si>
    <t>Missing risk level check (Row 7)</t>
  </si>
  <si>
    <t>Negative future cost check (Row 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</si>
</sst>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"/>
    <numFmt numFmtId="165" formatCode="$#,##0.00"/>
    <numFmt numFmtId="166" formatCode="0.0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5" xfId="0" applyFont="1" applyNumberFormat="1"/>
    <xf borderId="0" fillId="0" fontId="2" numFmtId="9" xfId="0" applyFont="1" applyNumberFormat="1"/>
    <xf borderId="0" fillId="0" fontId="2" numFmtId="166" xfId="0" applyFont="1" applyNumberFormat="1"/>
    <xf borderId="0" fillId="0" fontId="2" numFmtId="165" xfId="0" applyFont="1" applyNumberFormat="1"/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1">
    <dxf>
      <font>
        <color rgb="FF990000"/>
      </font>
      <fill>
        <patternFill patternType="solid">
          <fgColor rgb="FFF8CECC"/>
          <bgColor rgb="FFF8CE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9.88"/>
    <col customWidth="1" min="3" max="3" width="6.38"/>
  </cols>
  <sheetData>
    <row r="1">
      <c r="A1" s="1" t="s">
        <v>0</v>
      </c>
      <c r="B1" s="1" t="s">
        <v>3</v>
      </c>
      <c r="C1" s="1" t="s">
        <v>4</v>
      </c>
    </row>
    <row r="2">
      <c r="A2" s="3">
        <v>500.0</v>
      </c>
      <c r="B2" s="8" t="b">
        <f t="shared" ref="B2:B3" si="1">ISNUMBER(A2)</f>
        <v>1</v>
      </c>
      <c r="C2" s="8" t="b">
        <f>A2=A3</f>
        <v>0</v>
      </c>
    </row>
    <row r="3">
      <c r="A3" s="9" t="s">
        <v>21</v>
      </c>
      <c r="B3" s="8" t="b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9.25"/>
    <col customWidth="1" min="3" max="3" width="17.38"/>
    <col customWidth="1" min="4" max="4" width="16.38"/>
  </cols>
  <sheetData>
    <row r="1">
      <c r="A1" s="2" t="s">
        <v>1</v>
      </c>
      <c r="B1" s="2" t="s">
        <v>7</v>
      </c>
      <c r="C1" s="2" t="s">
        <v>8</v>
      </c>
      <c r="D1" s="2" t="s">
        <v>10</v>
      </c>
    </row>
    <row r="2">
      <c r="A2" s="5" t="s">
        <v>12</v>
      </c>
      <c r="B2" s="3">
        <v>1000.0</v>
      </c>
      <c r="C2" s="7">
        <v>0.1</v>
      </c>
      <c r="D2" s="8">
        <f t="shared" ref="D2:D5" si="1">B2*C2</f>
        <v>100</v>
      </c>
    </row>
    <row r="3">
      <c r="A3" s="5" t="s">
        <v>23</v>
      </c>
      <c r="B3" s="3">
        <v>500.0</v>
      </c>
      <c r="C3" s="7">
        <v>0.4</v>
      </c>
      <c r="D3" s="8">
        <f t="shared" si="1"/>
        <v>200</v>
      </c>
    </row>
    <row r="4">
      <c r="A4" s="5" t="s">
        <v>25</v>
      </c>
      <c r="B4" s="3">
        <v>2000.0</v>
      </c>
      <c r="C4" s="7">
        <v>0.05</v>
      </c>
      <c r="D4" s="8">
        <f t="shared" si="1"/>
        <v>100</v>
      </c>
    </row>
    <row r="5">
      <c r="A5" s="5" t="s">
        <v>30</v>
      </c>
      <c r="B5" s="3">
        <v>800.0</v>
      </c>
      <c r="C5" s="7">
        <v>0.25</v>
      </c>
      <c r="D5" s="8">
        <f t="shared" si="1"/>
        <v>200</v>
      </c>
    </row>
    <row r="7">
      <c r="C7" s="14" t="s">
        <v>36</v>
      </c>
      <c r="D7" s="15">
        <f>SUMPRODUCT(B2:B5, C2:C5)</f>
        <v>600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5.63"/>
    <col customWidth="1" min="3" max="3" width="21.63"/>
    <col customWidth="1" min="4" max="4" width="9.38"/>
    <col customWidth="1" min="5" max="5" width="4.88"/>
    <col customWidth="1" min="6" max="8" width="7.25"/>
    <col customWidth="1" min="10" max="10" width="8.38"/>
    <col customWidth="1" min="11" max="11" width="8.88"/>
  </cols>
  <sheetData>
    <row r="1">
      <c r="A1" s="2" t="s">
        <v>0</v>
      </c>
      <c r="B1" s="2" t="s">
        <v>5</v>
      </c>
    </row>
    <row r="2">
      <c r="A2" s="5" t="s">
        <v>11</v>
      </c>
      <c r="B2" s="7">
        <v>0.03</v>
      </c>
      <c r="J2" s="4" t="s">
        <v>15</v>
      </c>
      <c r="K2" s="4" t="s">
        <v>16</v>
      </c>
    </row>
    <row r="3">
      <c r="A3" s="5" t="s">
        <v>17</v>
      </c>
      <c r="B3" s="3">
        <v>500.0</v>
      </c>
      <c r="J3" s="5" t="s">
        <v>18</v>
      </c>
      <c r="K3" s="7">
        <v>0.05</v>
      </c>
    </row>
    <row r="4">
      <c r="J4" s="5" t="s">
        <v>19</v>
      </c>
      <c r="K4" s="7">
        <v>0.15</v>
      </c>
    </row>
    <row r="5">
      <c r="J5" s="5" t="s">
        <v>20</v>
      </c>
      <c r="K5" s="7">
        <v>0.3</v>
      </c>
    </row>
    <row r="6">
      <c r="A6" s="10" t="s">
        <v>22</v>
      </c>
      <c r="B6" s="10" t="s">
        <v>24</v>
      </c>
      <c r="C6" s="10" t="s">
        <v>26</v>
      </c>
      <c r="D6" s="10" t="s">
        <v>28</v>
      </c>
      <c r="E6" s="10" t="s">
        <v>31</v>
      </c>
      <c r="F6" s="10" t="s">
        <v>32</v>
      </c>
      <c r="G6" s="10" t="s">
        <v>33</v>
      </c>
      <c r="H6" s="10" t="s">
        <v>35</v>
      </c>
    </row>
    <row r="7">
      <c r="A7" s="5" t="s">
        <v>12</v>
      </c>
      <c r="B7" s="3">
        <v>1.0</v>
      </c>
      <c r="C7" s="5" t="s">
        <v>18</v>
      </c>
      <c r="D7" s="3">
        <v>1000.0</v>
      </c>
      <c r="E7" s="17">
        <f t="shared" ref="E7:E11" si="1">XLOOKUP(C7,$J$3:$J$5,$K$3:$K$5)</f>
        <v>0.05</v>
      </c>
      <c r="F7" s="18">
        <f>1/(1+Interest_Rate)^B7</f>
        <v>0.9708737864</v>
      </c>
      <c r="G7" s="19">
        <f t="shared" ref="G7:G11" si="2">D7*E7*F7</f>
        <v>48.54368932</v>
      </c>
      <c r="H7" s="8" t="str">
        <f>IF(G7&gt;Review_Threshold,"Review","OK")</f>
        <v>OK</v>
      </c>
    </row>
    <row r="8">
      <c r="A8" s="5" t="s">
        <v>23</v>
      </c>
      <c r="B8" s="3">
        <v>2.0</v>
      </c>
      <c r="C8" s="5" t="s">
        <v>20</v>
      </c>
      <c r="D8" s="3">
        <v>2500.0</v>
      </c>
      <c r="E8" s="17">
        <f t="shared" si="1"/>
        <v>0.3</v>
      </c>
      <c r="F8" s="18">
        <f>1/(1+Interest_Rate)^B8</f>
        <v>0.9425959091</v>
      </c>
      <c r="G8" s="19">
        <f t="shared" si="2"/>
        <v>706.9469319</v>
      </c>
      <c r="H8" s="8" t="str">
        <f>IF(G8&gt;Review_Threshold,"Review","OK")</f>
        <v>Review</v>
      </c>
    </row>
    <row r="9">
      <c r="A9" s="5" t="s">
        <v>25</v>
      </c>
      <c r="B9" s="3">
        <v>3.0</v>
      </c>
      <c r="C9" s="5" t="s">
        <v>19</v>
      </c>
      <c r="D9" s="3">
        <v>1800.0</v>
      </c>
      <c r="E9" s="17">
        <f t="shared" si="1"/>
        <v>0.15</v>
      </c>
      <c r="F9" s="18">
        <f>1/(1+Interest_Rate)^B9</f>
        <v>0.9151416594</v>
      </c>
      <c r="G9" s="19">
        <f t="shared" si="2"/>
        <v>247.088248</v>
      </c>
      <c r="H9" s="8" t="str">
        <f>IF(G9&gt;Review_Threshold,"Review","OK")</f>
        <v>OK</v>
      </c>
    </row>
    <row r="10">
      <c r="A10" s="5" t="s">
        <v>30</v>
      </c>
      <c r="B10" s="3">
        <v>4.0</v>
      </c>
      <c r="C10" s="5" t="s">
        <v>20</v>
      </c>
      <c r="D10" s="3">
        <v>3000.0</v>
      </c>
      <c r="E10" s="17">
        <f t="shared" si="1"/>
        <v>0.3</v>
      </c>
      <c r="F10" s="18">
        <f>1/(1+Interest_Rate)^B10</f>
        <v>0.8884870479</v>
      </c>
      <c r="G10" s="19">
        <f t="shared" si="2"/>
        <v>799.6383431</v>
      </c>
      <c r="H10" s="8" t="str">
        <f>IF(G10&gt;Review_Threshold,"Review","OK")</f>
        <v>Review</v>
      </c>
    </row>
    <row r="11">
      <c r="A11" s="5" t="s">
        <v>38</v>
      </c>
      <c r="B11" s="3">
        <v>5.0</v>
      </c>
      <c r="C11" s="5" t="s">
        <v>18</v>
      </c>
      <c r="D11" s="3">
        <v>1200.0</v>
      </c>
      <c r="E11" s="17">
        <f t="shared" si="1"/>
        <v>0.05</v>
      </c>
      <c r="F11" s="18">
        <f>1/(1+Interest_Rate)^B11</f>
        <v>0.8626087844</v>
      </c>
      <c r="G11" s="19">
        <f t="shared" si="2"/>
        <v>51.75652706</v>
      </c>
      <c r="H11" s="8" t="str">
        <f>IF(G11&gt;Review_Threshold,"Review","OK")</f>
        <v>OK</v>
      </c>
    </row>
    <row r="13">
      <c r="C13" s="20" t="s">
        <v>39</v>
      </c>
      <c r="D13" s="20" t="s">
        <v>5</v>
      </c>
    </row>
    <row r="14">
      <c r="C14" s="5" t="s">
        <v>40</v>
      </c>
      <c r="D14" s="19">
        <f>SUM(G7:G11)</f>
        <v>1853.973739</v>
      </c>
    </row>
    <row r="15">
      <c r="C15" s="5" t="s">
        <v>41</v>
      </c>
      <c r="D15" s="8">
        <f>COUNTIFS(H7:H11,"Review")</f>
        <v>2</v>
      </c>
    </row>
    <row r="16">
      <c r="C16" s="5" t="s">
        <v>42</v>
      </c>
      <c r="D16" s="19">
        <f>SUMIFS(G7:G11,C7:C11,"High")</f>
        <v>1506.585275</v>
      </c>
    </row>
    <row r="17">
      <c r="C17" s="5" t="s">
        <v>43</v>
      </c>
      <c r="D17" s="8">
        <f>COUNTIFS(C7:C11,"High")</f>
        <v>2</v>
      </c>
    </row>
    <row r="19">
      <c r="A19" s="1" t="s">
        <v>44</v>
      </c>
      <c r="B19" s="1" t="s">
        <v>45</v>
      </c>
    </row>
    <row r="20">
      <c r="A20" s="5" t="s">
        <v>46</v>
      </c>
      <c r="B20" s="8" t="str">
        <f>IF(AND(E7&gt;=0,E7&lt;=1),"OK","Check probability")</f>
        <v>OK</v>
      </c>
    </row>
    <row r="21">
      <c r="A21" s="5" t="s">
        <v>47</v>
      </c>
      <c r="B21" s="8" t="str">
        <f>IF(C7="","Missing risk level","OK")</f>
        <v>OK</v>
      </c>
    </row>
    <row r="22">
      <c r="A22" s="5" t="s">
        <v>48</v>
      </c>
      <c r="B22" s="8" t="str">
        <f>IF(D7&lt;0,"Check negative cost","OK")</f>
        <v>OK</v>
      </c>
    </row>
  </sheetData>
  <conditionalFormatting sqref="H7:H11">
    <cfRule type="cellIs" dxfId="0" priority="1" stopIfTrue="1" operator="equal">
      <formula>"Review"</formula>
    </cfRule>
  </conditionalFormatting>
  <dataValidations>
    <dataValidation type="list" allowBlank="1" sqref="C7:C11">
      <formula1>"Low,Medium,High"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9.0"/>
    <col customWidth="1" min="4" max="4" width="54.75"/>
    <col customWidth="1" min="5" max="5" width="7.63"/>
  </cols>
  <sheetData>
    <row r="1">
      <c r="A1" s="2" t="s">
        <v>2</v>
      </c>
      <c r="B1" s="2" t="s">
        <v>5</v>
      </c>
      <c r="D1" s="4" t="s">
        <v>6</v>
      </c>
      <c r="E1" s="4" t="s">
        <v>9</v>
      </c>
    </row>
    <row r="2">
      <c r="A2" s="5" t="s">
        <v>13</v>
      </c>
      <c r="B2" s="6">
        <v>5000.0</v>
      </c>
      <c r="D2" s="5" t="s">
        <v>14</v>
      </c>
      <c r="E2" s="11">
        <f>IF(RANDBETWEEN(1,100)&lt;=10, 1000, 0)</f>
        <v>1000</v>
      </c>
    </row>
    <row r="3">
      <c r="A3" s="5" t="s">
        <v>27</v>
      </c>
      <c r="B3" s="3">
        <v>50.0</v>
      </c>
    </row>
    <row r="4">
      <c r="A4" s="5" t="s">
        <v>29</v>
      </c>
      <c r="B4" s="12">
        <v>0.0</v>
      </c>
      <c r="D4" s="13" t="s">
        <v>34</v>
      </c>
    </row>
    <row r="5">
      <c r="A5" s="14" t="s">
        <v>37</v>
      </c>
      <c r="B5" s="16">
        <f>(B4*B3)-B2</f>
        <v>-5000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9.88"/>
    <col customWidth="1" min="3" max="3" width="6.38"/>
  </cols>
  <sheetData>
    <row r="1">
      <c r="A1" s="1" t="s">
        <v>0</v>
      </c>
      <c r="B1" s="1" t="s">
        <v>3</v>
      </c>
      <c r="C1" s="1" t="s">
        <v>4</v>
      </c>
    </row>
    <row r="2">
      <c r="A2" s="3">
        <v>500.0</v>
      </c>
    </row>
    <row r="3">
      <c r="A3" s="9" t="s">
        <v>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9.25"/>
    <col customWidth="1" min="3" max="3" width="17.38"/>
    <col customWidth="1" min="4" max="4" width="16.38"/>
  </cols>
  <sheetData>
    <row r="1">
      <c r="A1" s="2" t="s">
        <v>1</v>
      </c>
      <c r="B1" s="2" t="s">
        <v>7</v>
      </c>
      <c r="C1" s="2" t="s">
        <v>8</v>
      </c>
      <c r="D1" s="2" t="s">
        <v>10</v>
      </c>
    </row>
    <row r="2">
      <c r="A2" s="5" t="s">
        <v>12</v>
      </c>
      <c r="B2" s="3">
        <v>1000.0</v>
      </c>
      <c r="C2" s="7">
        <v>0.1</v>
      </c>
    </row>
    <row r="3">
      <c r="A3" s="5" t="s">
        <v>23</v>
      </c>
      <c r="B3" s="3">
        <v>500.0</v>
      </c>
      <c r="C3" s="7">
        <v>0.4</v>
      </c>
    </row>
    <row r="4">
      <c r="A4" s="5" t="s">
        <v>25</v>
      </c>
      <c r="B4" s="3">
        <v>2000.0</v>
      </c>
      <c r="C4" s="7">
        <v>0.05</v>
      </c>
    </row>
    <row r="5">
      <c r="A5" s="5" t="s">
        <v>30</v>
      </c>
      <c r="B5" s="3">
        <v>800.0</v>
      </c>
      <c r="C5" s="7">
        <v>0.25</v>
      </c>
    </row>
    <row r="7">
      <c r="C7" s="14" t="s">
        <v>36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5.63"/>
    <col customWidth="1" min="3" max="3" width="21.63"/>
    <col customWidth="1" min="4" max="4" width="9.38"/>
    <col customWidth="1" min="5" max="5" width="4.88"/>
    <col customWidth="1" min="6" max="6" width="2.88"/>
    <col customWidth="1" min="7" max="8" width="4.0"/>
    <col customWidth="1" min="10" max="10" width="8.38"/>
    <col customWidth="1" min="11" max="11" width="8.88"/>
  </cols>
  <sheetData>
    <row r="1">
      <c r="A1" s="2" t="s">
        <v>0</v>
      </c>
      <c r="B1" s="2" t="s">
        <v>5</v>
      </c>
    </row>
    <row r="2">
      <c r="A2" s="5" t="s">
        <v>11</v>
      </c>
      <c r="B2" s="7">
        <v>0.03</v>
      </c>
      <c r="J2" s="4" t="s">
        <v>15</v>
      </c>
      <c r="K2" s="4" t="s">
        <v>16</v>
      </c>
    </row>
    <row r="3">
      <c r="A3" s="5" t="s">
        <v>17</v>
      </c>
      <c r="B3" s="3">
        <v>500.0</v>
      </c>
      <c r="J3" s="5" t="s">
        <v>18</v>
      </c>
      <c r="K3" s="7">
        <v>0.05</v>
      </c>
    </row>
    <row r="4">
      <c r="J4" s="5" t="s">
        <v>19</v>
      </c>
      <c r="K4" s="7">
        <v>0.15</v>
      </c>
    </row>
    <row r="5">
      <c r="J5" s="5" t="s">
        <v>20</v>
      </c>
      <c r="K5" s="7">
        <v>0.3</v>
      </c>
    </row>
    <row r="6">
      <c r="A6" s="10" t="s">
        <v>22</v>
      </c>
      <c r="B6" s="10" t="s">
        <v>24</v>
      </c>
      <c r="C6" s="10" t="s">
        <v>26</v>
      </c>
      <c r="D6" s="10" t="s">
        <v>28</v>
      </c>
      <c r="E6" s="10" t="s">
        <v>31</v>
      </c>
      <c r="F6" s="10" t="s">
        <v>32</v>
      </c>
      <c r="G6" s="10" t="s">
        <v>33</v>
      </c>
      <c r="H6" s="10" t="s">
        <v>35</v>
      </c>
    </row>
    <row r="7">
      <c r="A7" s="5" t="s">
        <v>12</v>
      </c>
      <c r="B7" s="3">
        <v>1.0</v>
      </c>
      <c r="C7" s="5" t="s">
        <v>18</v>
      </c>
      <c r="D7" s="3">
        <v>1000.0</v>
      </c>
      <c r="E7" s="17"/>
      <c r="F7" s="18"/>
      <c r="G7" s="19"/>
    </row>
    <row r="8">
      <c r="A8" s="5" t="s">
        <v>23</v>
      </c>
      <c r="B8" s="3">
        <v>2.0</v>
      </c>
      <c r="C8" s="5" t="s">
        <v>20</v>
      </c>
      <c r="D8" s="3">
        <v>2500.0</v>
      </c>
      <c r="E8" s="17"/>
      <c r="F8" s="18"/>
      <c r="G8" s="19"/>
    </row>
    <row r="9">
      <c r="A9" s="5" t="s">
        <v>25</v>
      </c>
      <c r="B9" s="3">
        <v>3.0</v>
      </c>
      <c r="C9" s="5" t="s">
        <v>19</v>
      </c>
      <c r="D9" s="3">
        <v>1800.0</v>
      </c>
      <c r="E9" s="17"/>
      <c r="F9" s="18"/>
      <c r="G9" s="19"/>
    </row>
    <row r="10">
      <c r="A10" s="5" t="s">
        <v>30</v>
      </c>
      <c r="B10" s="3">
        <v>4.0</v>
      </c>
      <c r="C10" s="5" t="s">
        <v>20</v>
      </c>
      <c r="D10" s="3">
        <v>3000.0</v>
      </c>
      <c r="E10" s="17"/>
      <c r="F10" s="18"/>
      <c r="G10" s="19"/>
    </row>
    <row r="11">
      <c r="A11" s="5" t="s">
        <v>38</v>
      </c>
      <c r="B11" s="3">
        <v>5.0</v>
      </c>
      <c r="C11" s="5" t="s">
        <v>18</v>
      </c>
      <c r="D11" s="3">
        <v>1200.0</v>
      </c>
      <c r="E11" s="17"/>
      <c r="F11" s="18"/>
      <c r="G11" s="19"/>
    </row>
    <row r="13">
      <c r="C13" s="20" t="s">
        <v>39</v>
      </c>
      <c r="D13" s="20" t="s">
        <v>5</v>
      </c>
    </row>
    <row r="14">
      <c r="C14" s="5" t="s">
        <v>40</v>
      </c>
      <c r="D14" s="19"/>
    </row>
    <row r="15">
      <c r="C15" s="5" t="s">
        <v>41</v>
      </c>
    </row>
    <row r="16">
      <c r="C16" s="5" t="s">
        <v>42</v>
      </c>
      <c r="D16" s="19"/>
    </row>
    <row r="17">
      <c r="C17" s="5" t="s">
        <v>43</v>
      </c>
    </row>
    <row r="19">
      <c r="A19" s="1" t="s">
        <v>44</v>
      </c>
      <c r="B19" s="1" t="s">
        <v>45</v>
      </c>
    </row>
    <row r="20">
      <c r="A20" s="5" t="s">
        <v>46</v>
      </c>
    </row>
    <row r="21">
      <c r="A21" s="5" t="s">
        <v>47</v>
      </c>
    </row>
    <row r="22">
      <c r="A22" s="5" t="s">
        <v>48</v>
      </c>
    </row>
  </sheetData>
  <conditionalFormatting sqref="H7:H11">
    <cfRule type="cellIs" dxfId="0" priority="1" stopIfTrue="1" operator="equal">
      <formula>"Review"</formula>
    </cfRule>
  </conditionalFormatting>
  <dataValidations>
    <dataValidation type="list" allowBlank="1" sqref="C7:C11">
      <formula1>"Low,Medium,High"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5.88"/>
    <col customWidth="1" min="4" max="4" width="54.75"/>
    <col customWidth="1" min="5" max="5" width="7.63"/>
  </cols>
  <sheetData>
    <row r="1">
      <c r="A1" s="2" t="s">
        <v>2</v>
      </c>
      <c r="B1" s="2" t="s">
        <v>5</v>
      </c>
      <c r="D1" s="4" t="s">
        <v>6</v>
      </c>
      <c r="E1" s="4" t="s">
        <v>9</v>
      </c>
    </row>
    <row r="2">
      <c r="A2" s="5" t="s">
        <v>13</v>
      </c>
      <c r="B2" s="6">
        <v>5000.0</v>
      </c>
      <c r="D2" s="5" t="s">
        <v>14</v>
      </c>
      <c r="E2" s="11"/>
    </row>
    <row r="3">
      <c r="A3" s="5" t="s">
        <v>27</v>
      </c>
      <c r="B3" s="3">
        <v>50.0</v>
      </c>
    </row>
    <row r="4">
      <c r="A4" s="5" t="s">
        <v>29</v>
      </c>
      <c r="B4" s="12">
        <v>0.0</v>
      </c>
      <c r="D4" s="13" t="s">
        <v>34</v>
      </c>
    </row>
    <row r="5">
      <c r="A5" s="14" t="s">
        <v>37</v>
      </c>
      <c r="B5" s="19"/>
    </row>
  </sheetData>
  <drawing r:id="rId1"/>
</worksheet>
</file>