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105" windowWidth="24915" windowHeight="11565"/>
  </bookViews>
  <sheets>
    <sheet name="Insurance Summary" sheetId="1" r:id="rId1"/>
    <sheet name="Life Table" sheetId="2" r:id="rId2"/>
    <sheet name="Sheet3" sheetId="3" r:id="rId3"/>
  </sheets>
  <calcPr calcId="145621"/>
</workbook>
</file>

<file path=xl/calcChain.xml><?xml version="1.0" encoding="utf-8"?>
<calcChain xmlns="http://schemas.openxmlformats.org/spreadsheetml/2006/main">
  <c r="T78" i="1" l="1"/>
  <c r="T77" i="1"/>
  <c r="T76" i="1"/>
  <c r="T75" i="1"/>
  <c r="T74" i="1"/>
  <c r="T73" i="1"/>
  <c r="T72" i="1"/>
  <c r="T71" i="1"/>
  <c r="T70" i="1"/>
  <c r="T69" i="1"/>
  <c r="T68" i="1"/>
  <c r="T67" i="1"/>
  <c r="T66" i="1"/>
  <c r="T65" i="1"/>
  <c r="T64" i="1"/>
  <c r="T63" i="1"/>
  <c r="T62" i="1"/>
  <c r="T61" i="1"/>
  <c r="T60" i="1"/>
  <c r="T59" i="1"/>
  <c r="T58" i="1"/>
  <c r="T57" i="1"/>
  <c r="T56" i="1"/>
  <c r="T55" i="1"/>
  <c r="T54" i="1"/>
  <c r="T53" i="1"/>
  <c r="T52" i="1"/>
  <c r="T51" i="1"/>
  <c r="T50" i="1"/>
  <c r="T49" i="1"/>
  <c r="T48" i="1"/>
  <c r="T47" i="1"/>
  <c r="T46" i="1"/>
  <c r="T45" i="1"/>
  <c r="T44" i="1"/>
  <c r="T43" i="1"/>
  <c r="T42" i="1"/>
  <c r="T41" i="1"/>
  <c r="T40" i="1"/>
  <c r="T39" i="1"/>
  <c r="T38" i="1"/>
  <c r="T37" i="1"/>
  <c r="T36" i="1"/>
  <c r="T35" i="1"/>
  <c r="T34" i="1"/>
  <c r="T33" i="1"/>
  <c r="T32" i="1"/>
  <c r="T31" i="1"/>
  <c r="T30" i="1"/>
  <c r="T29" i="1"/>
  <c r="T28" i="1"/>
  <c r="T27" i="1"/>
  <c r="T26" i="1"/>
  <c r="T25" i="1"/>
  <c r="T24" i="1"/>
  <c r="T23" i="1"/>
  <c r="T22" i="1"/>
  <c r="T21" i="1"/>
  <c r="T20" i="1"/>
  <c r="T19" i="1"/>
  <c r="T18" i="1"/>
  <c r="T17" i="1"/>
  <c r="T16" i="1"/>
  <c r="T15" i="1"/>
  <c r="T14" i="1"/>
  <c r="T13" i="1"/>
  <c r="T12" i="1"/>
  <c r="T11" i="1"/>
  <c r="T10" i="1"/>
  <c r="T9" i="1"/>
  <c r="T8" i="1"/>
  <c r="T7" i="1"/>
  <c r="T6" i="1"/>
  <c r="T5" i="1"/>
  <c r="T4" i="1"/>
  <c r="T3" i="1"/>
  <c r="T2" i="1"/>
  <c r="S2" i="1"/>
  <c r="P42" i="1"/>
  <c r="R78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P33" i="1"/>
  <c r="P34" i="1"/>
  <c r="P35" i="1"/>
  <c r="P36" i="1"/>
  <c r="P37" i="1"/>
  <c r="P38" i="1"/>
  <c r="P39" i="1"/>
  <c r="P40" i="1"/>
  <c r="P41" i="1"/>
  <c r="P43" i="1"/>
  <c r="P44" i="1"/>
  <c r="P45" i="1"/>
  <c r="P46" i="1"/>
  <c r="P47" i="1"/>
  <c r="P48" i="1"/>
  <c r="P49" i="1"/>
  <c r="P50" i="1"/>
  <c r="P51" i="1"/>
  <c r="P52" i="1"/>
  <c r="P53" i="1"/>
  <c r="P54" i="1"/>
  <c r="P55" i="1"/>
  <c r="P56" i="1"/>
  <c r="P57" i="1"/>
  <c r="P58" i="1"/>
  <c r="P59" i="1"/>
  <c r="P60" i="1"/>
  <c r="P61" i="1"/>
  <c r="P62" i="1"/>
  <c r="P63" i="1"/>
  <c r="P64" i="1"/>
  <c r="P65" i="1"/>
  <c r="P66" i="1"/>
  <c r="P67" i="1"/>
  <c r="P68" i="1"/>
  <c r="P69" i="1"/>
  <c r="P70" i="1"/>
  <c r="P71" i="1"/>
  <c r="P72" i="1"/>
  <c r="P73" i="1"/>
  <c r="P74" i="1"/>
  <c r="P75" i="1"/>
  <c r="P76" i="1"/>
  <c r="P77" i="1"/>
  <c r="P78" i="1"/>
  <c r="P2" i="1"/>
  <c r="O78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2" i="1"/>
  <c r="Q2" i="1" s="1"/>
  <c r="M78" i="1"/>
  <c r="L78" i="1"/>
  <c r="K78" i="1"/>
  <c r="J78" i="1"/>
  <c r="J77" i="1"/>
  <c r="S67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8" i="1"/>
  <c r="S69" i="1"/>
  <c r="S70" i="1"/>
  <c r="S71" i="1"/>
  <c r="S72" i="1"/>
  <c r="S73" i="1"/>
  <c r="S74" i="1"/>
  <c r="S75" i="1"/>
  <c r="S76" i="1"/>
  <c r="S77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2" i="1"/>
  <c r="Q4" i="1"/>
  <c r="Q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2" i="1"/>
  <c r="L2" i="1"/>
  <c r="J4" i="1"/>
  <c r="J5" i="1"/>
  <c r="J6" i="1" s="1"/>
  <c r="J7" i="1" s="1"/>
  <c r="J8" i="1" s="1"/>
  <c r="J9" i="1" s="1"/>
  <c r="J10" i="1" s="1"/>
  <c r="J11" i="1" s="1"/>
  <c r="J12" i="1" s="1"/>
  <c r="J13" i="1" s="1"/>
  <c r="J14" i="1" s="1"/>
  <c r="J15" i="1" s="1"/>
  <c r="J16" i="1" s="1"/>
  <c r="J17" i="1" s="1"/>
  <c r="J18" i="1" s="1"/>
  <c r="J19" i="1" s="1"/>
  <c r="J20" i="1" s="1"/>
  <c r="J21" i="1" s="1"/>
  <c r="J22" i="1" s="1"/>
  <c r="J23" i="1" s="1"/>
  <c r="J24" i="1" s="1"/>
  <c r="J25" i="1" s="1"/>
  <c r="J26" i="1" s="1"/>
  <c r="J27" i="1" s="1"/>
  <c r="J28" i="1" s="1"/>
  <c r="J29" i="1" s="1"/>
  <c r="J30" i="1" s="1"/>
  <c r="J31" i="1" s="1"/>
  <c r="J32" i="1" s="1"/>
  <c r="J33" i="1" s="1"/>
  <c r="J34" i="1" s="1"/>
  <c r="J35" i="1" s="1"/>
  <c r="J36" i="1" s="1"/>
  <c r="J37" i="1" s="1"/>
  <c r="J38" i="1" s="1"/>
  <c r="J39" i="1" s="1"/>
  <c r="J40" i="1" s="1"/>
  <c r="J41" i="1" s="1"/>
  <c r="J42" i="1" s="1"/>
  <c r="J43" i="1" s="1"/>
  <c r="J44" i="1" s="1"/>
  <c r="J45" i="1" s="1"/>
  <c r="J46" i="1" s="1"/>
  <c r="J47" i="1" s="1"/>
  <c r="J48" i="1" s="1"/>
  <c r="J49" i="1" s="1"/>
  <c r="J50" i="1" s="1"/>
  <c r="J51" i="1" s="1"/>
  <c r="J52" i="1" s="1"/>
  <c r="J53" i="1" s="1"/>
  <c r="J54" i="1" s="1"/>
  <c r="J55" i="1" s="1"/>
  <c r="J56" i="1" s="1"/>
  <c r="J57" i="1" s="1"/>
  <c r="J58" i="1" s="1"/>
  <c r="J59" i="1" s="1"/>
  <c r="J60" i="1" s="1"/>
  <c r="J61" i="1" s="1"/>
  <c r="J62" i="1" s="1"/>
  <c r="J63" i="1" s="1"/>
  <c r="J64" i="1" s="1"/>
  <c r="J65" i="1" s="1"/>
  <c r="J66" i="1" s="1"/>
  <c r="J67" i="1" s="1"/>
  <c r="J68" i="1" s="1"/>
  <c r="J69" i="1" s="1"/>
  <c r="J70" i="1" s="1"/>
  <c r="J71" i="1" s="1"/>
  <c r="J72" i="1" s="1"/>
  <c r="J73" i="1" s="1"/>
  <c r="J74" i="1" s="1"/>
  <c r="J75" i="1" s="1"/>
  <c r="J76" i="1" s="1"/>
  <c r="K5" i="1"/>
  <c r="K6" i="1"/>
  <c r="K7" i="1" s="1"/>
  <c r="K8" i="1" s="1"/>
  <c r="K9" i="1" s="1"/>
  <c r="K10" i="1" s="1"/>
  <c r="K11" i="1" s="1"/>
  <c r="K12" i="1" s="1"/>
  <c r="K13" i="1" s="1"/>
  <c r="K14" i="1" s="1"/>
  <c r="K15" i="1" s="1"/>
  <c r="K16" i="1" s="1"/>
  <c r="K17" i="1" s="1"/>
  <c r="K18" i="1" s="1"/>
  <c r="K19" i="1" s="1"/>
  <c r="K20" i="1" s="1"/>
  <c r="K21" i="1" s="1"/>
  <c r="K22" i="1" s="1"/>
  <c r="K23" i="1" s="1"/>
  <c r="K24" i="1" s="1"/>
  <c r="K25" i="1" s="1"/>
  <c r="K26" i="1" s="1"/>
  <c r="K27" i="1" s="1"/>
  <c r="K28" i="1" s="1"/>
  <c r="K29" i="1" s="1"/>
  <c r="K30" i="1" s="1"/>
  <c r="K31" i="1" s="1"/>
  <c r="K32" i="1" s="1"/>
  <c r="K33" i="1" s="1"/>
  <c r="K34" i="1" s="1"/>
  <c r="K35" i="1" s="1"/>
  <c r="K36" i="1" s="1"/>
  <c r="K37" i="1" s="1"/>
  <c r="K38" i="1" s="1"/>
  <c r="K39" i="1" s="1"/>
  <c r="K40" i="1" s="1"/>
  <c r="K41" i="1" s="1"/>
  <c r="K42" i="1" s="1"/>
  <c r="K43" i="1" s="1"/>
  <c r="K44" i="1" s="1"/>
  <c r="K45" i="1" s="1"/>
  <c r="K46" i="1" s="1"/>
  <c r="K47" i="1" s="1"/>
  <c r="K48" i="1" s="1"/>
  <c r="K49" i="1" s="1"/>
  <c r="K50" i="1" s="1"/>
  <c r="K51" i="1" s="1"/>
  <c r="K52" i="1" s="1"/>
  <c r="K53" i="1" s="1"/>
  <c r="K54" i="1" s="1"/>
  <c r="K55" i="1" s="1"/>
  <c r="K56" i="1" s="1"/>
  <c r="K57" i="1" s="1"/>
  <c r="K58" i="1" s="1"/>
  <c r="K59" i="1" s="1"/>
  <c r="K60" i="1" s="1"/>
  <c r="K61" i="1" s="1"/>
  <c r="K62" i="1" s="1"/>
  <c r="K63" i="1" s="1"/>
  <c r="K64" i="1" s="1"/>
  <c r="K65" i="1" s="1"/>
  <c r="K66" i="1" s="1"/>
  <c r="K67" i="1" s="1"/>
  <c r="K68" i="1" s="1"/>
  <c r="K69" i="1" s="1"/>
  <c r="K70" i="1" s="1"/>
  <c r="K71" i="1" s="1"/>
  <c r="K72" i="1" s="1"/>
  <c r="K73" i="1" s="1"/>
  <c r="K74" i="1" s="1"/>
  <c r="K75" i="1" s="1"/>
  <c r="K76" i="1" s="1"/>
  <c r="K77" i="1" s="1"/>
  <c r="K4" i="1"/>
  <c r="K3" i="1"/>
  <c r="J3" i="1"/>
  <c r="J2" i="1"/>
  <c r="N2" i="1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2" i="2"/>
  <c r="D2" i="2"/>
  <c r="D77" i="2"/>
  <c r="C77" i="2"/>
  <c r="D78" i="2"/>
  <c r="C78" i="2"/>
  <c r="D4" i="2"/>
  <c r="D5" i="2"/>
  <c r="D6" i="2"/>
  <c r="D7" i="2"/>
  <c r="D12" i="2"/>
  <c r="D13" i="2"/>
  <c r="D14" i="2"/>
  <c r="D15" i="2"/>
  <c r="D20" i="2"/>
  <c r="D21" i="2"/>
  <c r="D22" i="2"/>
  <c r="D23" i="2"/>
  <c r="D28" i="2"/>
  <c r="D29" i="2"/>
  <c r="D30" i="2"/>
  <c r="D31" i="2"/>
  <c r="D36" i="2"/>
  <c r="D37" i="2"/>
  <c r="D38" i="2"/>
  <c r="D39" i="2"/>
  <c r="D44" i="2"/>
  <c r="D45" i="2"/>
  <c r="D46" i="2"/>
  <c r="D47" i="2"/>
  <c r="D52" i="2"/>
  <c r="D53" i="2"/>
  <c r="D54" i="2"/>
  <c r="D55" i="2"/>
  <c r="D60" i="2"/>
  <c r="D61" i="2"/>
  <c r="D62" i="2"/>
  <c r="D63" i="2"/>
  <c r="D68" i="2"/>
  <c r="D69" i="2"/>
  <c r="D70" i="2"/>
  <c r="D71" i="2"/>
  <c r="D76" i="2"/>
  <c r="C3" i="2"/>
  <c r="D3" i="2" s="1"/>
  <c r="C4" i="2"/>
  <c r="C5" i="2"/>
  <c r="C6" i="2"/>
  <c r="C7" i="2"/>
  <c r="C8" i="2"/>
  <c r="D8" i="2" s="1"/>
  <c r="C9" i="2"/>
  <c r="D9" i="2" s="1"/>
  <c r="C10" i="2"/>
  <c r="D10" i="2" s="1"/>
  <c r="C11" i="2"/>
  <c r="D11" i="2" s="1"/>
  <c r="C12" i="2"/>
  <c r="C13" i="2"/>
  <c r="C14" i="2"/>
  <c r="C15" i="2"/>
  <c r="C16" i="2"/>
  <c r="D16" i="2" s="1"/>
  <c r="C17" i="2"/>
  <c r="D17" i="2" s="1"/>
  <c r="C18" i="2"/>
  <c r="D18" i="2" s="1"/>
  <c r="C19" i="2"/>
  <c r="D19" i="2" s="1"/>
  <c r="C20" i="2"/>
  <c r="C21" i="2"/>
  <c r="C22" i="2"/>
  <c r="C23" i="2"/>
  <c r="C24" i="2"/>
  <c r="D24" i="2" s="1"/>
  <c r="C25" i="2"/>
  <c r="D25" i="2" s="1"/>
  <c r="C26" i="2"/>
  <c r="D26" i="2" s="1"/>
  <c r="C27" i="2"/>
  <c r="D27" i="2" s="1"/>
  <c r="C28" i="2"/>
  <c r="C29" i="2"/>
  <c r="C30" i="2"/>
  <c r="C31" i="2"/>
  <c r="C32" i="2"/>
  <c r="D32" i="2" s="1"/>
  <c r="C33" i="2"/>
  <c r="D33" i="2" s="1"/>
  <c r="C34" i="2"/>
  <c r="D34" i="2" s="1"/>
  <c r="C35" i="2"/>
  <c r="D35" i="2" s="1"/>
  <c r="C36" i="2"/>
  <c r="C37" i="2"/>
  <c r="C38" i="2"/>
  <c r="C39" i="2"/>
  <c r="C40" i="2"/>
  <c r="D40" i="2" s="1"/>
  <c r="C41" i="2"/>
  <c r="D41" i="2" s="1"/>
  <c r="C42" i="2"/>
  <c r="D42" i="2" s="1"/>
  <c r="C43" i="2"/>
  <c r="D43" i="2" s="1"/>
  <c r="C44" i="2"/>
  <c r="C45" i="2"/>
  <c r="C46" i="2"/>
  <c r="C47" i="2"/>
  <c r="C48" i="2"/>
  <c r="D48" i="2" s="1"/>
  <c r="C49" i="2"/>
  <c r="D49" i="2" s="1"/>
  <c r="C50" i="2"/>
  <c r="D50" i="2" s="1"/>
  <c r="C51" i="2"/>
  <c r="D51" i="2" s="1"/>
  <c r="C52" i="2"/>
  <c r="C53" i="2"/>
  <c r="C54" i="2"/>
  <c r="C55" i="2"/>
  <c r="C56" i="2"/>
  <c r="D56" i="2" s="1"/>
  <c r="C57" i="2"/>
  <c r="D57" i="2" s="1"/>
  <c r="C58" i="2"/>
  <c r="D58" i="2" s="1"/>
  <c r="C59" i="2"/>
  <c r="D59" i="2" s="1"/>
  <c r="C60" i="2"/>
  <c r="C61" i="2"/>
  <c r="C62" i="2"/>
  <c r="C63" i="2"/>
  <c r="C64" i="2"/>
  <c r="D64" i="2" s="1"/>
  <c r="C65" i="2"/>
  <c r="D65" i="2" s="1"/>
  <c r="C66" i="2"/>
  <c r="D66" i="2" s="1"/>
  <c r="C67" i="2"/>
  <c r="D67" i="2" s="1"/>
  <c r="C68" i="2"/>
  <c r="C69" i="2"/>
  <c r="C70" i="2"/>
  <c r="C71" i="2"/>
  <c r="C72" i="2"/>
  <c r="D72" i="2" s="1"/>
  <c r="C73" i="2"/>
  <c r="D73" i="2" s="1"/>
  <c r="C74" i="2"/>
  <c r="D74" i="2" s="1"/>
  <c r="C75" i="2"/>
  <c r="D75" i="2" s="1"/>
  <c r="C76" i="2"/>
  <c r="C2" i="2"/>
  <c r="N3" i="1" l="1"/>
  <c r="L3" i="1"/>
  <c r="N4" i="1" l="1"/>
  <c r="L4" i="1"/>
  <c r="N5" i="1" l="1"/>
  <c r="L5" i="1"/>
  <c r="Q5" i="1" l="1"/>
  <c r="Q6" i="1"/>
  <c r="N6" i="1"/>
  <c r="L6" i="1"/>
  <c r="Q7" i="1" l="1"/>
  <c r="N7" i="1"/>
  <c r="L7" i="1"/>
  <c r="N8" i="1" l="1"/>
  <c r="L8" i="1"/>
  <c r="Q8" i="1" l="1"/>
  <c r="Q9" i="1"/>
  <c r="N9" i="1"/>
  <c r="L9" i="1"/>
  <c r="N10" i="1" l="1"/>
  <c r="L10" i="1"/>
  <c r="Q10" i="1" l="1"/>
  <c r="N11" i="1"/>
  <c r="L11" i="1"/>
  <c r="Q11" i="1" s="1"/>
  <c r="N12" i="1" l="1"/>
  <c r="L12" i="1"/>
  <c r="Q12" i="1" l="1"/>
  <c r="N13" i="1"/>
  <c r="L13" i="1"/>
  <c r="Q13" i="1" s="1"/>
  <c r="N14" i="1" l="1"/>
  <c r="L14" i="1"/>
  <c r="Q14" i="1" s="1"/>
  <c r="N15" i="1" l="1"/>
  <c r="L15" i="1"/>
  <c r="Q15" i="1" s="1"/>
  <c r="N16" i="1" l="1"/>
  <c r="L16" i="1"/>
  <c r="Q16" i="1" s="1"/>
  <c r="N17" i="1" l="1"/>
  <c r="L17" i="1"/>
  <c r="Q17" i="1" s="1"/>
  <c r="N18" i="1" l="1"/>
  <c r="L18" i="1"/>
  <c r="Q18" i="1" s="1"/>
  <c r="N19" i="1" l="1"/>
  <c r="L19" i="1"/>
  <c r="Q19" i="1" s="1"/>
  <c r="N20" i="1" l="1"/>
  <c r="L20" i="1"/>
  <c r="Q20" i="1" s="1"/>
  <c r="N21" i="1" l="1"/>
  <c r="L21" i="1"/>
  <c r="Q21" i="1" s="1"/>
  <c r="N22" i="1" l="1"/>
  <c r="L22" i="1"/>
  <c r="Q22" i="1" s="1"/>
  <c r="N23" i="1" l="1"/>
  <c r="L23" i="1"/>
  <c r="Q23" i="1" s="1"/>
  <c r="N24" i="1" l="1"/>
  <c r="L24" i="1"/>
  <c r="Q24" i="1" s="1"/>
  <c r="N25" i="1" l="1"/>
  <c r="L25" i="1"/>
  <c r="Q25" i="1" s="1"/>
  <c r="N26" i="1" l="1"/>
  <c r="L26" i="1"/>
  <c r="Q26" i="1" s="1"/>
  <c r="N27" i="1" l="1"/>
  <c r="L27" i="1"/>
  <c r="Q27" i="1" s="1"/>
  <c r="N28" i="1" l="1"/>
  <c r="L28" i="1"/>
  <c r="Q28" i="1" s="1"/>
  <c r="N29" i="1" l="1"/>
  <c r="L29" i="1"/>
  <c r="Q29" i="1" s="1"/>
  <c r="N30" i="1" l="1"/>
  <c r="L30" i="1"/>
  <c r="Q30" i="1" s="1"/>
  <c r="N31" i="1" l="1"/>
  <c r="L31" i="1"/>
  <c r="Q31" i="1" s="1"/>
  <c r="N32" i="1" l="1"/>
  <c r="L32" i="1"/>
  <c r="Q32" i="1" l="1"/>
  <c r="Q33" i="1"/>
  <c r="N33" i="1"/>
  <c r="L33" i="1"/>
  <c r="N34" i="1" l="1"/>
  <c r="L34" i="1"/>
  <c r="Q34" i="1" s="1"/>
  <c r="N35" i="1" l="1"/>
  <c r="L35" i="1"/>
  <c r="Q35" i="1" s="1"/>
  <c r="N36" i="1" l="1"/>
  <c r="L36" i="1"/>
  <c r="Q36" i="1" s="1"/>
  <c r="N37" i="1" l="1"/>
  <c r="L37" i="1"/>
  <c r="Q37" i="1" s="1"/>
  <c r="N38" i="1" l="1"/>
  <c r="L38" i="1"/>
  <c r="Q38" i="1" s="1"/>
  <c r="N39" i="1" l="1"/>
  <c r="L39" i="1"/>
  <c r="Q39" i="1" s="1"/>
  <c r="N40" i="1" l="1"/>
  <c r="L40" i="1"/>
  <c r="Q40" i="1" s="1"/>
  <c r="N41" i="1" l="1"/>
  <c r="L41" i="1"/>
  <c r="Q41" i="1" s="1"/>
  <c r="N42" i="1" l="1"/>
  <c r="L42" i="1"/>
  <c r="Q42" i="1" s="1"/>
  <c r="N43" i="1" l="1"/>
  <c r="L43" i="1"/>
  <c r="Q43" i="1" s="1"/>
  <c r="N44" i="1" l="1"/>
  <c r="L44" i="1"/>
  <c r="Q44" i="1" s="1"/>
  <c r="N45" i="1" l="1"/>
  <c r="L45" i="1"/>
  <c r="Q45" i="1" s="1"/>
  <c r="N46" i="1" l="1"/>
  <c r="L46" i="1"/>
  <c r="Q46" i="1" s="1"/>
  <c r="N47" i="1" l="1"/>
  <c r="L47" i="1"/>
  <c r="Q47" i="1" s="1"/>
  <c r="N48" i="1" l="1"/>
  <c r="L48" i="1"/>
  <c r="Q48" i="1" s="1"/>
  <c r="N49" i="1" l="1"/>
  <c r="L49" i="1"/>
  <c r="Q49" i="1" s="1"/>
  <c r="N50" i="1" l="1"/>
  <c r="L50" i="1"/>
  <c r="Q50" i="1" s="1"/>
  <c r="N51" i="1" l="1"/>
  <c r="L51" i="1"/>
  <c r="Q51" i="1" s="1"/>
  <c r="N52" i="1" l="1"/>
  <c r="L52" i="1"/>
  <c r="Q52" i="1" s="1"/>
  <c r="N53" i="1" l="1"/>
  <c r="L53" i="1"/>
  <c r="Q53" i="1" s="1"/>
  <c r="N54" i="1" l="1"/>
  <c r="L54" i="1"/>
  <c r="Q54" i="1" s="1"/>
  <c r="N55" i="1" l="1"/>
  <c r="L55" i="1"/>
  <c r="Q55" i="1" s="1"/>
  <c r="N56" i="1" l="1"/>
  <c r="L56" i="1"/>
  <c r="Q56" i="1" s="1"/>
  <c r="N57" i="1" l="1"/>
  <c r="L57" i="1"/>
  <c r="Q57" i="1" s="1"/>
  <c r="N58" i="1" l="1"/>
  <c r="L58" i="1"/>
  <c r="Q58" i="1" s="1"/>
  <c r="N59" i="1" l="1"/>
  <c r="L59" i="1"/>
  <c r="Q59" i="1" s="1"/>
  <c r="N60" i="1" l="1"/>
  <c r="L60" i="1"/>
  <c r="Q60" i="1" s="1"/>
  <c r="N61" i="1" l="1"/>
  <c r="L61" i="1"/>
  <c r="Q61" i="1" s="1"/>
  <c r="N62" i="1" l="1"/>
  <c r="L62" i="1"/>
  <c r="Q62" i="1" s="1"/>
  <c r="N63" i="1" l="1"/>
  <c r="L63" i="1"/>
  <c r="Q63" i="1" s="1"/>
  <c r="N64" i="1" l="1"/>
  <c r="L64" i="1"/>
  <c r="Q64" i="1" s="1"/>
  <c r="N65" i="1" l="1"/>
  <c r="L65" i="1"/>
  <c r="Q65" i="1" s="1"/>
  <c r="N66" i="1" l="1"/>
  <c r="L66" i="1"/>
  <c r="Q66" i="1" s="1"/>
  <c r="N67" i="1" l="1"/>
  <c r="L67" i="1"/>
  <c r="Q67" i="1" s="1"/>
  <c r="N68" i="1" l="1"/>
  <c r="L68" i="1"/>
  <c r="Q68" i="1" s="1"/>
  <c r="N69" i="1" l="1"/>
  <c r="L69" i="1"/>
  <c r="Q69" i="1" s="1"/>
  <c r="N70" i="1" l="1"/>
  <c r="L70" i="1"/>
  <c r="Q70" i="1" s="1"/>
  <c r="N71" i="1" l="1"/>
  <c r="L71" i="1"/>
  <c r="Q71" i="1" s="1"/>
  <c r="N72" i="1" l="1"/>
  <c r="L72" i="1"/>
  <c r="Q72" i="1" s="1"/>
  <c r="N73" i="1" l="1"/>
  <c r="L73" i="1"/>
  <c r="Q73" i="1" s="1"/>
  <c r="N74" i="1" l="1"/>
  <c r="L74" i="1"/>
  <c r="Q74" i="1" s="1"/>
  <c r="N75" i="1" l="1"/>
  <c r="L75" i="1"/>
  <c r="Q75" i="1" s="1"/>
  <c r="N76" i="1" l="1"/>
  <c r="L76" i="1"/>
  <c r="Q76" i="1" l="1"/>
  <c r="Q77" i="1"/>
  <c r="N78" i="1"/>
  <c r="S78" i="1" s="1"/>
  <c r="N77" i="1"/>
  <c r="Q78" i="1"/>
  <c r="L77" i="1"/>
</calcChain>
</file>

<file path=xl/sharedStrings.xml><?xml version="1.0" encoding="utf-8"?>
<sst xmlns="http://schemas.openxmlformats.org/spreadsheetml/2006/main" count="26" uniqueCount="24">
  <si>
    <t>Term</t>
  </si>
  <si>
    <t>Age</t>
  </si>
  <si>
    <t>Survivors</t>
  </si>
  <si>
    <t>Face Value</t>
  </si>
  <si>
    <t>Face Value plus Bonus</t>
  </si>
  <si>
    <t>Premium</t>
  </si>
  <si>
    <t>Withdrawal</t>
  </si>
  <si>
    <t>Withdrawal plus Bonus</t>
  </si>
  <si>
    <t>Death</t>
  </si>
  <si>
    <t>CondProb</t>
  </si>
  <si>
    <t>Natural Death</t>
  </si>
  <si>
    <t>100+</t>
  </si>
  <si>
    <t>Discount</t>
  </si>
  <si>
    <t>PDicount</t>
  </si>
  <si>
    <t>ExpectFace</t>
  </si>
  <si>
    <t>CondDeathProb</t>
  </si>
  <si>
    <t>Alive</t>
  </si>
  <si>
    <t>ExpectPremium</t>
  </si>
  <si>
    <t>ExpectFaceBonus</t>
  </si>
  <si>
    <t>ExpectedWithdraw</t>
  </si>
  <si>
    <t>ExpectWithBonus</t>
  </si>
  <si>
    <t>TotalGain</t>
  </si>
  <si>
    <t>TotalCost</t>
  </si>
  <si>
    <t>TotalGainPlusBonus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</si>
</sst>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8"/>
  <sheetViews>
    <sheetView tabSelected="1" workbookViewId="0">
      <selection activeCell="T2" sqref="T2"/>
    </sheetView>
  </sheetViews>
  <sheetFormatPr defaultRowHeight="15" x14ac:dyDescent="0.25"/>
  <sheetData>
    <row r="1" spans="1:20" x14ac:dyDescent="0.25">
      <c r="A1" t="s">
        <v>0</v>
      </c>
      <c r="B1" t="s">
        <v>1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15</v>
      </c>
      <c r="I1" t="s">
        <v>16</v>
      </c>
      <c r="J1" t="s">
        <v>12</v>
      </c>
      <c r="K1" t="s">
        <v>13</v>
      </c>
      <c r="L1" t="s">
        <v>14</v>
      </c>
      <c r="M1" t="s">
        <v>18</v>
      </c>
      <c r="N1" t="s">
        <v>17</v>
      </c>
      <c r="O1" t="s">
        <v>19</v>
      </c>
      <c r="P1" t="s">
        <v>20</v>
      </c>
      <c r="Q1" t="s">
        <v>21</v>
      </c>
      <c r="R1" t="s">
        <v>23</v>
      </c>
      <c r="S1" t="s">
        <v>22</v>
      </c>
    </row>
    <row r="2" spans="1:20" x14ac:dyDescent="0.25">
      <c r="A2">
        <v>1</v>
      </c>
      <c r="B2">
        <v>25</v>
      </c>
      <c r="C2">
        <v>81000</v>
      </c>
      <c r="D2">
        <v>81000</v>
      </c>
      <c r="E2">
        <v>1031</v>
      </c>
      <c r="F2">
        <v>0</v>
      </c>
      <c r="G2">
        <v>0</v>
      </c>
      <c r="H2">
        <v>4.9687691735146502E-4</v>
      </c>
      <c r="I2">
        <v>1</v>
      </c>
      <c r="J2">
        <f>1/1.03</f>
        <v>0.970873786407767</v>
      </c>
      <c r="K2">
        <v>1</v>
      </c>
      <c r="L2">
        <f>C2*H2*I2*J2</f>
        <v>39.074786704338514</v>
      </c>
      <c r="M2">
        <f>D2*H2*I2*J2</f>
        <v>39.074786704338514</v>
      </c>
      <c r="N2">
        <f t="shared" ref="N2:N33" si="0">E2*I2*K2</f>
        <v>1031</v>
      </c>
      <c r="O2">
        <f>F2*I3*J2</f>
        <v>0</v>
      </c>
      <c r="P2">
        <f>G2*I3*J2</f>
        <v>0</v>
      </c>
      <c r="Q2">
        <f>SUM($L$2:L2)+O2</f>
        <v>39.074786704338514</v>
      </c>
      <c r="R2">
        <f>SUM($M$2:M2)+P2</f>
        <v>39.074786704338514</v>
      </c>
      <c r="S2">
        <f>SUM($N$2:N2)</f>
        <v>1031</v>
      </c>
      <c r="T2">
        <f>Q2-S2</f>
        <v>-991.92521329566148</v>
      </c>
    </row>
    <row r="3" spans="1:20" x14ac:dyDescent="0.25">
      <c r="A3">
        <v>2</v>
      </c>
      <c r="B3">
        <v>26</v>
      </c>
      <c r="C3">
        <v>81000</v>
      </c>
      <c r="D3">
        <v>81000</v>
      </c>
      <c r="E3">
        <v>1031</v>
      </c>
      <c r="F3">
        <v>0</v>
      </c>
      <c r="G3">
        <v>0</v>
      </c>
      <c r="H3">
        <v>5.1926304899991551E-4</v>
      </c>
      <c r="I3">
        <v>0.99950312308264855</v>
      </c>
      <c r="J3">
        <f>J2/1.03</f>
        <v>0.94259590913375435</v>
      </c>
      <c r="K3">
        <f>1/1.03</f>
        <v>0.970873786407767</v>
      </c>
      <c r="L3">
        <f>C3*H3*I3*J3</f>
        <v>39.626174166578892</v>
      </c>
      <c r="M3">
        <f t="shared" ref="M3:M66" si="1">D3*H3*I3*J3</f>
        <v>39.626174166578892</v>
      </c>
      <c r="N3">
        <f t="shared" si="0"/>
        <v>1000.4735144642822</v>
      </c>
      <c r="O3">
        <f t="shared" ref="O3:O66" si="2">F3*I4*J3</f>
        <v>0</v>
      </c>
      <c r="P3">
        <f t="shared" ref="P3:P66" si="3">G3*I4*J3</f>
        <v>0</v>
      </c>
      <c r="Q3">
        <f>SUM($L$2:L3)+O3</f>
        <v>78.700960870917413</v>
      </c>
      <c r="R3">
        <f>SUM($M$2:M3)+P3</f>
        <v>78.700960870917413</v>
      </c>
      <c r="S3">
        <f>SUM($N$2:N3)</f>
        <v>2031.4735144642823</v>
      </c>
      <c r="T3">
        <f t="shared" ref="T3:T66" si="4">Q3-S3</f>
        <v>-1952.7725535933648</v>
      </c>
    </row>
    <row r="4" spans="1:20" x14ac:dyDescent="0.25">
      <c r="A4">
        <v>3</v>
      </c>
      <c r="B4">
        <v>27</v>
      </c>
      <c r="C4">
        <v>81000</v>
      </c>
      <c r="D4">
        <v>81000</v>
      </c>
      <c r="E4">
        <v>1031</v>
      </c>
      <c r="F4">
        <v>43</v>
      </c>
      <c r="G4">
        <v>43</v>
      </c>
      <c r="H4">
        <v>5.4269029399919453E-4</v>
      </c>
      <c r="I4">
        <v>0.99898411804347165</v>
      </c>
      <c r="J4">
        <f t="shared" ref="J4:J67" si="5">J3/1.03</f>
        <v>0.9151416593531595</v>
      </c>
      <c r="K4">
        <f>K3/1.03</f>
        <v>0.94259590913375435</v>
      </c>
      <c r="L4">
        <f>C4*H4*I4*J4</f>
        <v>40.186851576326518</v>
      </c>
      <c r="M4">
        <f t="shared" si="1"/>
        <v>40.186851576326518</v>
      </c>
      <c r="N4">
        <f t="shared" si="0"/>
        <v>970.82913158904626</v>
      </c>
      <c r="O4">
        <f t="shared" si="2"/>
        <v>39.289781527798112</v>
      </c>
      <c r="P4">
        <f t="shared" si="3"/>
        <v>39.289781527798112</v>
      </c>
      <c r="Q4">
        <f>SUM($L$2:L4)+O4</f>
        <v>158.17759397504204</v>
      </c>
      <c r="R4">
        <f>SUM($M$2:M4)+P4</f>
        <v>158.17759397504204</v>
      </c>
      <c r="S4">
        <f>SUM($N$2:N4)</f>
        <v>3002.3026460533283</v>
      </c>
      <c r="T4">
        <f t="shared" si="4"/>
        <v>-2844.1250520782864</v>
      </c>
    </row>
    <row r="5" spans="1:20" x14ac:dyDescent="0.25">
      <c r="A5">
        <v>4</v>
      </c>
      <c r="B5">
        <v>28</v>
      </c>
      <c r="C5">
        <v>81000</v>
      </c>
      <c r="D5">
        <v>81000</v>
      </c>
      <c r="E5">
        <v>1031</v>
      </c>
      <c r="F5">
        <v>78</v>
      </c>
      <c r="G5">
        <v>78</v>
      </c>
      <c r="H5">
        <v>5.7320676444425642E-4</v>
      </c>
      <c r="I5">
        <v>0.99844197905875021</v>
      </c>
      <c r="J5">
        <f t="shared" si="5"/>
        <v>0.88848704791568878</v>
      </c>
      <c r="K5">
        <f t="shared" ref="K5:K68" si="6">K4/1.03</f>
        <v>0.9151416593531595</v>
      </c>
      <c r="L5">
        <f t="shared" ref="L5:L66" si="7">C5*H5*I5*J5</f>
        <v>41.187957827205707</v>
      </c>
      <c r="M5">
        <f t="shared" si="1"/>
        <v>41.187957827205707</v>
      </c>
      <c r="N5">
        <f t="shared" si="0"/>
        <v>942.04104081767127</v>
      </c>
      <c r="O5">
        <f t="shared" si="2"/>
        <v>69.15435330823486</v>
      </c>
      <c r="P5">
        <f t="shared" si="3"/>
        <v>69.15435330823486</v>
      </c>
      <c r="Q5">
        <f>SUM($L$2:L5)+O5</f>
        <v>229.23012358268448</v>
      </c>
      <c r="R5">
        <f>SUM($M$2:M5)+P5</f>
        <v>229.23012358268448</v>
      </c>
      <c r="S5">
        <f>SUM($N$2:N5)</f>
        <v>3944.3436868709996</v>
      </c>
      <c r="T5">
        <f t="shared" si="4"/>
        <v>-3715.1135632883152</v>
      </c>
    </row>
    <row r="6" spans="1:20" x14ac:dyDescent="0.25">
      <c r="A6">
        <v>5</v>
      </c>
      <c r="B6">
        <v>29</v>
      </c>
      <c r="C6">
        <v>81000</v>
      </c>
      <c r="D6">
        <v>81596</v>
      </c>
      <c r="E6">
        <v>1031</v>
      </c>
      <c r="F6">
        <v>124</v>
      </c>
      <c r="G6">
        <v>249</v>
      </c>
      <c r="H6">
        <v>6.1183841821121432E-4</v>
      </c>
      <c r="I6">
        <v>0.99786966536244859</v>
      </c>
      <c r="J6">
        <f t="shared" si="5"/>
        <v>0.86260878438416388</v>
      </c>
      <c r="K6">
        <f t="shared" si="6"/>
        <v>0.88848704791568878</v>
      </c>
      <c r="L6">
        <f t="shared" si="7"/>
        <v>42.658881022939006</v>
      </c>
      <c r="M6">
        <f t="shared" si="1"/>
        <v>42.9727661228115</v>
      </c>
      <c r="N6">
        <f t="shared" si="0"/>
        <v>914.07869565115561</v>
      </c>
      <c r="O6">
        <f t="shared" si="2"/>
        <v>106.6703162838399</v>
      </c>
      <c r="P6">
        <f t="shared" si="3"/>
        <v>214.20087705383978</v>
      </c>
      <c r="Q6">
        <f>SUM($L$2:L6)+O6</f>
        <v>309.40496758122856</v>
      </c>
      <c r="R6">
        <f>SUM($M$2:M6)+P6</f>
        <v>417.24941345110091</v>
      </c>
      <c r="S6">
        <f>SUM($N$2:N6)</f>
        <v>4858.4223825221552</v>
      </c>
      <c r="T6">
        <f t="shared" si="4"/>
        <v>-4549.0174149409268</v>
      </c>
    </row>
    <row r="7" spans="1:20" x14ac:dyDescent="0.25">
      <c r="A7">
        <v>6</v>
      </c>
      <c r="B7">
        <v>30</v>
      </c>
      <c r="C7">
        <v>81000</v>
      </c>
      <c r="D7">
        <v>81706</v>
      </c>
      <c r="E7">
        <v>1031</v>
      </c>
      <c r="F7">
        <v>303</v>
      </c>
      <c r="G7">
        <v>545</v>
      </c>
      <c r="H7">
        <v>6.5759945939676339E-4</v>
      </c>
      <c r="I7">
        <v>0.99725913036481229</v>
      </c>
      <c r="J7">
        <f t="shared" si="5"/>
        <v>0.83748425668365423</v>
      </c>
      <c r="K7">
        <f t="shared" si="6"/>
        <v>0.86260878438416388</v>
      </c>
      <c r="L7">
        <f t="shared" si="7"/>
        <v>44.486797119297883</v>
      </c>
      <c r="M7">
        <f t="shared" si="1"/>
        <v>44.874546239868543</v>
      </c>
      <c r="N7">
        <f t="shared" si="0"/>
        <v>886.91206523095923</v>
      </c>
      <c r="O7">
        <f t="shared" si="2"/>
        <v>252.89579934450313</v>
      </c>
      <c r="P7">
        <f t="shared" si="3"/>
        <v>454.87858297938686</v>
      </c>
      <c r="Q7">
        <f>SUM($L$2:L7)+O7</f>
        <v>500.11724776118967</v>
      </c>
      <c r="R7">
        <f>SUM($M$2:M7)+P7</f>
        <v>702.80166561651652</v>
      </c>
      <c r="S7">
        <f>SUM($N$2:N7)</f>
        <v>5745.3344477531145</v>
      </c>
      <c r="T7">
        <f t="shared" si="4"/>
        <v>-5245.2171999919246</v>
      </c>
    </row>
    <row r="8" spans="1:20" x14ac:dyDescent="0.25">
      <c r="A8">
        <v>7</v>
      </c>
      <c r="B8">
        <v>31</v>
      </c>
      <c r="C8">
        <v>81000</v>
      </c>
      <c r="D8">
        <v>81820</v>
      </c>
      <c r="E8">
        <v>1031</v>
      </c>
      <c r="F8">
        <v>505</v>
      </c>
      <c r="G8">
        <v>917</v>
      </c>
      <c r="H8">
        <v>7.0748551975963658E-4</v>
      </c>
      <c r="I8">
        <v>0.99660333329980588</v>
      </c>
      <c r="J8">
        <f t="shared" si="5"/>
        <v>0.81309151134335356</v>
      </c>
      <c r="K8">
        <f t="shared" si="6"/>
        <v>0.83748425668365423</v>
      </c>
      <c r="L8">
        <f t="shared" si="7"/>
        <v>46.43701944819199</v>
      </c>
      <c r="M8">
        <f t="shared" si="1"/>
        <v>46.907122608037881</v>
      </c>
      <c r="N8">
        <f t="shared" si="0"/>
        <v>860.51342945274837</v>
      </c>
      <c r="O8">
        <f t="shared" si="2"/>
        <v>408.92698904281366</v>
      </c>
      <c r="P8">
        <f t="shared" si="3"/>
        <v>742.546631588634</v>
      </c>
      <c r="Q8">
        <f>SUM($L$2:L8)+O8</f>
        <v>702.58545690769211</v>
      </c>
      <c r="R8">
        <f>SUM($M$2:M8)+P8</f>
        <v>1037.3768368338015</v>
      </c>
      <c r="S8">
        <f>SUM($N$2:N8)</f>
        <v>6605.8478772058625</v>
      </c>
      <c r="T8">
        <f t="shared" si="4"/>
        <v>-5903.2624202981706</v>
      </c>
    </row>
    <row r="9" spans="1:20" x14ac:dyDescent="0.25">
      <c r="A9">
        <v>8</v>
      </c>
      <c r="B9">
        <v>32</v>
      </c>
      <c r="C9">
        <v>81000</v>
      </c>
      <c r="D9">
        <v>81946</v>
      </c>
      <c r="E9">
        <v>1031</v>
      </c>
      <c r="F9">
        <v>784</v>
      </c>
      <c r="G9">
        <v>1486</v>
      </c>
      <c r="H9">
        <v>7.554548282451229E-4</v>
      </c>
      <c r="I9">
        <v>0.99589825087255213</v>
      </c>
      <c r="J9">
        <f t="shared" si="5"/>
        <v>0.7894092343139355</v>
      </c>
      <c r="K9">
        <f t="shared" si="6"/>
        <v>0.81309151134335356</v>
      </c>
      <c r="L9">
        <f t="shared" si="7"/>
        <v>48.107267768995214</v>
      </c>
      <c r="M9">
        <f t="shared" si="1"/>
        <v>48.669113143186195</v>
      </c>
      <c r="N9">
        <f t="shared" si="0"/>
        <v>834.85886277849681</v>
      </c>
      <c r="O9">
        <f t="shared" si="2"/>
        <v>615.89264929124397</v>
      </c>
      <c r="P9">
        <f t="shared" si="3"/>
        <v>1167.3679551617199</v>
      </c>
      <c r="Q9">
        <f>SUM($L$2:L9)+O9</f>
        <v>957.65838492511762</v>
      </c>
      <c r="R9">
        <f>SUM($M$2:M9)+P9</f>
        <v>1510.8672735500736</v>
      </c>
      <c r="S9">
        <f>SUM($N$2:N9)</f>
        <v>7440.706739984359</v>
      </c>
      <c r="T9">
        <f t="shared" si="4"/>
        <v>-6483.0483550592417</v>
      </c>
    </row>
    <row r="10" spans="1:20" x14ac:dyDescent="0.25">
      <c r="A10">
        <v>9</v>
      </c>
      <c r="B10">
        <v>33</v>
      </c>
      <c r="C10">
        <v>81000</v>
      </c>
      <c r="D10">
        <v>82109</v>
      </c>
      <c r="E10">
        <v>1031</v>
      </c>
      <c r="F10">
        <v>1114</v>
      </c>
      <c r="G10">
        <v>2223</v>
      </c>
      <c r="H10">
        <v>7.9948735779030182E-4</v>
      </c>
      <c r="I10">
        <v>0.99514589473048953</v>
      </c>
      <c r="J10">
        <f t="shared" si="5"/>
        <v>0.76641673234362673</v>
      </c>
      <c r="K10">
        <f t="shared" si="6"/>
        <v>0.7894092343139355</v>
      </c>
      <c r="L10">
        <f t="shared" si="7"/>
        <v>49.391060699438249</v>
      </c>
      <c r="M10">
        <f t="shared" si="1"/>
        <v>50.06729139469352</v>
      </c>
      <c r="N10">
        <f t="shared" si="0"/>
        <v>809.93025691233743</v>
      </c>
      <c r="O10">
        <f t="shared" si="2"/>
        <v>848.96458231062877</v>
      </c>
      <c r="P10">
        <f t="shared" si="3"/>
        <v>1694.1187311279423</v>
      </c>
      <c r="Q10">
        <f>SUM($L$2:L10)+O10</f>
        <v>1240.1213786439407</v>
      </c>
      <c r="R10">
        <f>SUM($M$2:M10)+P10</f>
        <v>2087.6853409109895</v>
      </c>
      <c r="S10">
        <f>SUM($N$2:N10)</f>
        <v>8250.6369968966974</v>
      </c>
      <c r="T10">
        <f t="shared" si="4"/>
        <v>-7010.5156182527571</v>
      </c>
    </row>
    <row r="11" spans="1:20" x14ac:dyDescent="0.25">
      <c r="A11">
        <v>10</v>
      </c>
      <c r="B11">
        <v>34</v>
      </c>
      <c r="C11">
        <v>81000</v>
      </c>
      <c r="D11">
        <v>82635</v>
      </c>
      <c r="E11">
        <v>1031</v>
      </c>
      <c r="F11">
        <v>1496</v>
      </c>
      <c r="G11">
        <v>3131</v>
      </c>
      <c r="H11">
        <v>8.3553090098756517E-4</v>
      </c>
      <c r="I11">
        <v>0.99435028816849558</v>
      </c>
      <c r="J11">
        <f t="shared" si="5"/>
        <v>0.74409391489672494</v>
      </c>
      <c r="K11">
        <f t="shared" si="6"/>
        <v>0.76641673234362673</v>
      </c>
      <c r="L11">
        <f t="shared" si="7"/>
        <v>50.074277537019626</v>
      </c>
      <c r="M11">
        <f t="shared" si="1"/>
        <v>51.085036102118714</v>
      </c>
      <c r="N11">
        <f t="shared" si="0"/>
        <v>785.71138632159625</v>
      </c>
      <c r="O11">
        <f t="shared" si="2"/>
        <v>1105.9506094261239</v>
      </c>
      <c r="P11">
        <f t="shared" si="3"/>
        <v>2314.6599987387663</v>
      </c>
      <c r="Q11">
        <f>SUM($L$2:L11)+O11</f>
        <v>1547.1816832964555</v>
      </c>
      <c r="R11">
        <f>SUM($M$2:M11)+P11</f>
        <v>2759.3116446239324</v>
      </c>
      <c r="S11">
        <f>SUM($N$2:N11)</f>
        <v>9036.3483832182937</v>
      </c>
      <c r="T11">
        <f t="shared" si="4"/>
        <v>-7489.1666999218378</v>
      </c>
    </row>
    <row r="12" spans="1:20" x14ac:dyDescent="0.25">
      <c r="A12">
        <v>11</v>
      </c>
      <c r="B12">
        <v>35</v>
      </c>
      <c r="C12">
        <v>60000</v>
      </c>
      <c r="D12">
        <v>74739</v>
      </c>
      <c r="E12">
        <v>1031</v>
      </c>
      <c r="F12">
        <v>1997</v>
      </c>
      <c r="G12">
        <v>4060</v>
      </c>
      <c r="H12">
        <v>8.6660113164339361E-4</v>
      </c>
      <c r="I12">
        <v>0.99351947777632488</v>
      </c>
      <c r="J12">
        <f t="shared" si="5"/>
        <v>0.7224212765987621</v>
      </c>
      <c r="K12">
        <f t="shared" si="6"/>
        <v>0.74409391489672494</v>
      </c>
      <c r="L12">
        <f t="shared" si="7"/>
        <v>37.319637467046611</v>
      </c>
      <c r="M12">
        <f t="shared" si="1"/>
        <v>46.487206410826616</v>
      </c>
      <c r="N12">
        <f t="shared" si="0"/>
        <v>762.18922347482214</v>
      </c>
      <c r="O12">
        <f t="shared" si="2"/>
        <v>1432.0838781597386</v>
      </c>
      <c r="P12">
        <f t="shared" si="3"/>
        <v>2911.4975189426832</v>
      </c>
      <c r="Q12">
        <f>SUM($L$2:L12)+O12</f>
        <v>1910.6345894971168</v>
      </c>
      <c r="R12">
        <f>SUM($M$2:M12)+P12</f>
        <v>3402.636371238676</v>
      </c>
      <c r="S12">
        <f>SUM($N$2:N12)</f>
        <v>9798.5376066931167</v>
      </c>
      <c r="T12">
        <f t="shared" si="4"/>
        <v>-7887.9030171960003</v>
      </c>
    </row>
    <row r="13" spans="1:20" x14ac:dyDescent="0.25">
      <c r="A13">
        <v>12</v>
      </c>
      <c r="B13">
        <v>36</v>
      </c>
      <c r="C13">
        <v>60000</v>
      </c>
      <c r="D13">
        <v>76348</v>
      </c>
      <c r="E13">
        <v>1031</v>
      </c>
      <c r="F13">
        <v>2488</v>
      </c>
      <c r="G13">
        <v>5087</v>
      </c>
      <c r="H13">
        <v>8.9065782020871182E-4</v>
      </c>
      <c r="I13">
        <v>0.99265849267257422</v>
      </c>
      <c r="J13">
        <f t="shared" si="5"/>
        <v>0.70137988019297293</v>
      </c>
      <c r="K13">
        <f t="shared" si="6"/>
        <v>0.7224212765987621</v>
      </c>
      <c r="L13">
        <f t="shared" si="7"/>
        <v>37.206198772268827</v>
      </c>
      <c r="M13">
        <f t="shared" si="1"/>
        <v>47.343647731086349</v>
      </c>
      <c r="N13">
        <f t="shared" si="0"/>
        <v>739.34826158372084</v>
      </c>
      <c r="O13">
        <f t="shared" si="2"/>
        <v>1730.6791512796858</v>
      </c>
      <c r="P13">
        <f t="shared" si="3"/>
        <v>3538.5710781992611</v>
      </c>
      <c r="Q13">
        <f>SUM($L$2:L13)+O13</f>
        <v>2246.4360613893327</v>
      </c>
      <c r="R13">
        <f>SUM($M$2:M13)+P13</f>
        <v>4077.0535782263401</v>
      </c>
      <c r="S13">
        <f>SUM($N$2:N13)</f>
        <v>10537.885868276837</v>
      </c>
      <c r="T13">
        <f t="shared" si="4"/>
        <v>-8291.4498068875037</v>
      </c>
    </row>
    <row r="14" spans="1:20" x14ac:dyDescent="0.25">
      <c r="A14">
        <v>13</v>
      </c>
      <c r="B14">
        <v>37</v>
      </c>
      <c r="C14">
        <v>60000</v>
      </c>
      <c r="D14">
        <v>77996</v>
      </c>
      <c r="E14">
        <v>1031</v>
      </c>
      <c r="F14">
        <v>3365</v>
      </c>
      <c r="G14">
        <v>6640</v>
      </c>
      <c r="H14">
        <v>9.0767845262628398E-4</v>
      </c>
      <c r="I14">
        <v>0.9917743736232788</v>
      </c>
      <c r="J14">
        <f t="shared" si="5"/>
        <v>0.68095133999317758</v>
      </c>
      <c r="K14">
        <f t="shared" si="6"/>
        <v>0.70137988019297293</v>
      </c>
      <c r="L14">
        <f t="shared" si="7"/>
        <v>36.780043408971586</v>
      </c>
      <c r="M14">
        <f t="shared" si="1"/>
        <v>47.81160442876913</v>
      </c>
      <c r="N14">
        <f t="shared" si="0"/>
        <v>717.17451968221712</v>
      </c>
      <c r="O14">
        <f t="shared" si="2"/>
        <v>2270.4903010062067</v>
      </c>
      <c r="P14">
        <f t="shared" si="3"/>
        <v>4480.2542640954562</v>
      </c>
      <c r="Q14">
        <f>SUM($L$2:L14)+O14</f>
        <v>2823.0272545248254</v>
      </c>
      <c r="R14">
        <f>SUM($M$2:M14)+P14</f>
        <v>5066.5483685513045</v>
      </c>
      <c r="S14">
        <f>SUM($N$2:N14)</f>
        <v>11255.060387959054</v>
      </c>
      <c r="T14">
        <f t="shared" si="4"/>
        <v>-8432.03313343423</v>
      </c>
    </row>
    <row r="15" spans="1:20" x14ac:dyDescent="0.25">
      <c r="A15">
        <v>14</v>
      </c>
      <c r="B15">
        <v>38</v>
      </c>
      <c r="C15">
        <v>60000</v>
      </c>
      <c r="D15">
        <v>79687</v>
      </c>
      <c r="E15">
        <v>1031</v>
      </c>
      <c r="F15">
        <v>4346</v>
      </c>
      <c r="G15">
        <v>8480</v>
      </c>
      <c r="H15">
        <v>9.2677465164743588E-4</v>
      </c>
      <c r="I15">
        <v>0.99087416139447404</v>
      </c>
      <c r="J15">
        <f t="shared" si="5"/>
        <v>0.66111780581861901</v>
      </c>
      <c r="K15">
        <f t="shared" si="6"/>
        <v>0.68095133999317758</v>
      </c>
      <c r="L15">
        <f t="shared" si="7"/>
        <v>36.42694541670668</v>
      </c>
      <c r="M15">
        <f t="shared" si="1"/>
        <v>48.379233323685099</v>
      </c>
      <c r="N15">
        <f t="shared" si="0"/>
        <v>695.65393769313494</v>
      </c>
      <c r="O15">
        <f t="shared" si="2"/>
        <v>2844.3589354067553</v>
      </c>
      <c r="P15">
        <f t="shared" si="3"/>
        <v>5549.9686544522056</v>
      </c>
      <c r="Q15">
        <f>SUM($L$2:L15)+O15</f>
        <v>3433.3228343420806</v>
      </c>
      <c r="R15">
        <f>SUM($M$2:M15)+P15</f>
        <v>6184.6419922317391</v>
      </c>
      <c r="S15">
        <f>SUM($N$2:N15)</f>
        <v>11950.714325652189</v>
      </c>
      <c r="T15">
        <f t="shared" si="4"/>
        <v>-8517.3914913101071</v>
      </c>
    </row>
    <row r="16" spans="1:20" x14ac:dyDescent="0.25">
      <c r="A16">
        <v>15</v>
      </c>
      <c r="B16">
        <v>39</v>
      </c>
      <c r="C16">
        <v>60000</v>
      </c>
      <c r="D16">
        <v>81415</v>
      </c>
      <c r="E16">
        <v>1031</v>
      </c>
      <c r="F16">
        <v>5430</v>
      </c>
      <c r="G16">
        <v>10634</v>
      </c>
      <c r="H16">
        <v>9.5100302370192146E-4</v>
      </c>
      <c r="I16">
        <v>0.98995584433872119</v>
      </c>
      <c r="J16">
        <f t="shared" si="5"/>
        <v>0.64186194739671742</v>
      </c>
      <c r="K16">
        <f t="shared" si="6"/>
        <v>0.66111780581861901</v>
      </c>
      <c r="L16">
        <f t="shared" si="7"/>
        <v>36.256894384284656</v>
      </c>
      <c r="M16">
        <f t="shared" si="1"/>
        <v>49.197584271608918</v>
      </c>
      <c r="N16">
        <f t="shared" si="0"/>
        <v>674.76623617219627</v>
      </c>
      <c r="O16">
        <f t="shared" si="2"/>
        <v>3447.0221254944145</v>
      </c>
      <c r="P16">
        <f t="shared" si="3"/>
        <v>6750.5770317693559</v>
      </c>
      <c r="Q16">
        <f>SUM($L$2:L16)+O16</f>
        <v>4072.2429188140245</v>
      </c>
      <c r="R16">
        <f>SUM($M$2:M16)+P16</f>
        <v>7434.4479538204978</v>
      </c>
      <c r="S16">
        <f>SUM($N$2:N16)</f>
        <v>12625.480561824384</v>
      </c>
      <c r="T16">
        <f t="shared" si="4"/>
        <v>-8553.2376430103595</v>
      </c>
    </row>
    <row r="17" spans="1:20" x14ac:dyDescent="0.25">
      <c r="A17">
        <v>16</v>
      </c>
      <c r="B17">
        <v>40</v>
      </c>
      <c r="C17">
        <v>60000</v>
      </c>
      <c r="D17">
        <v>83255</v>
      </c>
      <c r="E17">
        <v>1031</v>
      </c>
      <c r="F17">
        <v>6823</v>
      </c>
      <c r="G17">
        <v>14263</v>
      </c>
      <c r="H17">
        <v>9.8648615664993365E-4</v>
      </c>
      <c r="I17">
        <v>0.98901439333742369</v>
      </c>
      <c r="J17">
        <f t="shared" si="5"/>
        <v>0.62316693922011401</v>
      </c>
      <c r="K17">
        <f t="shared" si="6"/>
        <v>0.64186194739671742</v>
      </c>
      <c r="L17">
        <f t="shared" si="7"/>
        <v>36.479532354945775</v>
      </c>
      <c r="M17">
        <f t="shared" si="1"/>
        <v>50.618391103516842</v>
      </c>
      <c r="N17">
        <f t="shared" si="0"/>
        <v>654.48983635078105</v>
      </c>
      <c r="O17">
        <f t="shared" si="2"/>
        <v>4201.0103457597706</v>
      </c>
      <c r="P17">
        <f t="shared" si="3"/>
        <v>8781.9156619627156</v>
      </c>
      <c r="Q17">
        <f>SUM($L$2:L17)+O17</f>
        <v>4862.7106714343263</v>
      </c>
      <c r="R17">
        <f>SUM($M$2:M17)+P17</f>
        <v>9516.4049751173752</v>
      </c>
      <c r="S17">
        <f>SUM($N$2:N17)</f>
        <v>13279.970398175166</v>
      </c>
      <c r="T17">
        <f t="shared" si="4"/>
        <v>-8417.2597267408401</v>
      </c>
    </row>
    <row r="18" spans="1:20" x14ac:dyDescent="0.25">
      <c r="A18">
        <v>17</v>
      </c>
      <c r="B18">
        <v>41</v>
      </c>
      <c r="C18">
        <v>60000</v>
      </c>
      <c r="D18">
        <v>85096</v>
      </c>
      <c r="E18">
        <v>1031</v>
      </c>
      <c r="F18">
        <v>8217</v>
      </c>
      <c r="G18">
        <v>17891</v>
      </c>
      <c r="H18">
        <v>1.0403962871493753E-3</v>
      </c>
      <c r="I18">
        <v>0.98803874432966876</v>
      </c>
      <c r="J18">
        <f t="shared" si="5"/>
        <v>0.60501644584477088</v>
      </c>
      <c r="K18">
        <f t="shared" si="6"/>
        <v>0.62316693922011401</v>
      </c>
      <c r="L18">
        <f t="shared" si="7"/>
        <v>37.315666166304254</v>
      </c>
      <c r="M18">
        <f t="shared" si="1"/>
        <v>52.923565468130441</v>
      </c>
      <c r="N18">
        <f t="shared" si="0"/>
        <v>634.80018561898339</v>
      </c>
      <c r="O18">
        <f t="shared" si="2"/>
        <v>4906.8453277395811</v>
      </c>
      <c r="P18">
        <f t="shared" si="3"/>
        <v>10683.749514249586</v>
      </c>
      <c r="Q18">
        <f>SUM($L$2:L18)+O18</f>
        <v>5605.861319580441</v>
      </c>
      <c r="R18">
        <f>SUM($M$2:M18)+P18</f>
        <v>11471.162392872375</v>
      </c>
      <c r="S18">
        <f>SUM($N$2:N18)</f>
        <v>13914.77058379415</v>
      </c>
      <c r="T18">
        <f t="shared" si="4"/>
        <v>-8308.9092642137093</v>
      </c>
    </row>
    <row r="19" spans="1:20" x14ac:dyDescent="0.25">
      <c r="A19">
        <v>18</v>
      </c>
      <c r="B19">
        <v>42</v>
      </c>
      <c r="C19">
        <v>60000</v>
      </c>
      <c r="D19">
        <v>86936</v>
      </c>
      <c r="E19">
        <v>1031</v>
      </c>
      <c r="F19">
        <v>9610</v>
      </c>
      <c r="G19">
        <v>21520</v>
      </c>
      <c r="H19">
        <v>1.1189284374949046E-3</v>
      </c>
      <c r="I19">
        <v>0.98701079248850843</v>
      </c>
      <c r="J19">
        <f t="shared" si="5"/>
        <v>0.58739460761628237</v>
      </c>
      <c r="K19">
        <f t="shared" si="6"/>
        <v>0.60501644584477088</v>
      </c>
      <c r="L19">
        <f t="shared" si="7"/>
        <v>38.922920459219561</v>
      </c>
      <c r="M19">
        <f t="shared" si="1"/>
        <v>56.39671688404519</v>
      </c>
      <c r="N19">
        <f t="shared" si="0"/>
        <v>615.66965229396476</v>
      </c>
      <c r="O19">
        <f t="shared" si="2"/>
        <v>5565.3057385462871</v>
      </c>
      <c r="P19">
        <f t="shared" si="3"/>
        <v>12462.578511291998</v>
      </c>
      <c r="Q19">
        <f>SUM($L$2:L19)+O19</f>
        <v>6303.2446508463663</v>
      </c>
      <c r="R19">
        <f>SUM($M$2:M19)+P19</f>
        <v>13306.388106798833</v>
      </c>
      <c r="S19">
        <f>SUM($N$2:N19)</f>
        <v>14530.440236088116</v>
      </c>
      <c r="T19">
        <f t="shared" si="4"/>
        <v>-8227.1955852417486</v>
      </c>
    </row>
    <row r="20" spans="1:20" x14ac:dyDescent="0.25">
      <c r="A20">
        <v>19</v>
      </c>
      <c r="B20">
        <v>43</v>
      </c>
      <c r="C20">
        <v>60000</v>
      </c>
      <c r="D20">
        <v>88777</v>
      </c>
      <c r="E20">
        <v>1031</v>
      </c>
      <c r="F20">
        <v>11004</v>
      </c>
      <c r="G20">
        <v>25148</v>
      </c>
      <c r="H20">
        <v>1.2232222469337828E-3</v>
      </c>
      <c r="I20">
        <v>0.98590639804467872</v>
      </c>
      <c r="J20">
        <f t="shared" si="5"/>
        <v>0.57028602681192464</v>
      </c>
      <c r="K20">
        <f t="shared" si="6"/>
        <v>0.58739460761628237</v>
      </c>
      <c r="L20">
        <f t="shared" si="7"/>
        <v>41.265302872481527</v>
      </c>
      <c r="M20">
        <f t="shared" si="1"/>
        <v>61.056829885171545</v>
      </c>
      <c r="N20">
        <f t="shared" si="0"/>
        <v>597.06870098243724</v>
      </c>
      <c r="O20">
        <f t="shared" si="2"/>
        <v>6179.4160060662962</v>
      </c>
      <c r="P20">
        <f t="shared" si="3"/>
        <v>14122.133198887244</v>
      </c>
      <c r="Q20">
        <f>SUM($L$2:L20)+O20</f>
        <v>6958.6202212388571</v>
      </c>
      <c r="R20">
        <f>SUM($M$2:M20)+P20</f>
        <v>15026.999624279251</v>
      </c>
      <c r="S20">
        <f>SUM($N$2:N20)</f>
        <v>15127.508937070554</v>
      </c>
      <c r="T20">
        <f t="shared" si="4"/>
        <v>-8168.8887158316966</v>
      </c>
    </row>
    <row r="21" spans="1:20" x14ac:dyDescent="0.25">
      <c r="A21">
        <v>20</v>
      </c>
      <c r="B21">
        <v>44</v>
      </c>
      <c r="C21">
        <v>60000</v>
      </c>
      <c r="D21">
        <v>90617</v>
      </c>
      <c r="E21">
        <v>1031</v>
      </c>
      <c r="F21">
        <v>12397</v>
      </c>
      <c r="G21">
        <v>28777</v>
      </c>
      <c r="H21">
        <v>1.3575090475066881E-3</v>
      </c>
      <c r="I21">
        <v>0.98470041540519604</v>
      </c>
      <c r="J21">
        <f t="shared" si="5"/>
        <v>0.55367575418633463</v>
      </c>
      <c r="K21">
        <f t="shared" si="6"/>
        <v>0.57028602681192464</v>
      </c>
      <c r="L21">
        <f t="shared" si="7"/>
        <v>44.407222456843442</v>
      </c>
      <c r="M21">
        <f t="shared" si="1"/>
        <v>67.067487956196373</v>
      </c>
      <c r="N21">
        <f t="shared" si="0"/>
        <v>578.96927501402683</v>
      </c>
      <c r="O21">
        <f t="shared" si="2"/>
        <v>6749.7279533082556</v>
      </c>
      <c r="P21">
        <f t="shared" si="3"/>
        <v>15668.058507086527</v>
      </c>
      <c r="Q21">
        <f>SUM($L$2:L21)+O21</f>
        <v>7573.33939093766</v>
      </c>
      <c r="R21">
        <f>SUM($M$2:M21)+P21</f>
        <v>16639.99242043473</v>
      </c>
      <c r="S21">
        <f>SUM($N$2:N21)</f>
        <v>15706.478212084581</v>
      </c>
      <c r="T21">
        <f t="shared" si="4"/>
        <v>-8133.1388211469211</v>
      </c>
    </row>
    <row r="22" spans="1:20" x14ac:dyDescent="0.25">
      <c r="A22">
        <v>21</v>
      </c>
      <c r="B22">
        <v>45</v>
      </c>
      <c r="C22">
        <v>60000</v>
      </c>
      <c r="D22">
        <v>92628</v>
      </c>
      <c r="E22">
        <v>1031</v>
      </c>
      <c r="F22">
        <v>13533</v>
      </c>
      <c r="G22">
        <v>31387</v>
      </c>
      <c r="H22">
        <v>1.5209631061605653E-3</v>
      </c>
      <c r="I22">
        <v>0.98336367568219996</v>
      </c>
      <c r="J22">
        <f t="shared" si="5"/>
        <v>0.53754927590906276</v>
      </c>
      <c r="K22">
        <f t="shared" si="6"/>
        <v>0.55367575418633463</v>
      </c>
      <c r="L22">
        <f t="shared" si="7"/>
        <v>48.2394528284835</v>
      </c>
      <c r="M22">
        <f t="shared" si="1"/>
        <v>74.472067276612833</v>
      </c>
      <c r="N22">
        <f t="shared" si="0"/>
        <v>561.34302814074465</v>
      </c>
      <c r="O22">
        <f t="shared" si="2"/>
        <v>7142.7504332107919</v>
      </c>
      <c r="P22">
        <f t="shared" si="3"/>
        <v>16566.135213713671</v>
      </c>
      <c r="Q22">
        <f>SUM($L$2:L22)+O22</f>
        <v>8014.6013236686795</v>
      </c>
      <c r="R22">
        <f>SUM($M$2:M22)+P22</f>
        <v>17612.541194338486</v>
      </c>
      <c r="S22">
        <f>SUM($N$2:N22)</f>
        <v>16267.821240225327</v>
      </c>
      <c r="T22">
        <f t="shared" si="4"/>
        <v>-8253.2199165566471</v>
      </c>
    </row>
    <row r="23" spans="1:20" x14ac:dyDescent="0.25">
      <c r="A23">
        <v>22</v>
      </c>
      <c r="B23">
        <v>46</v>
      </c>
      <c r="C23">
        <v>60000</v>
      </c>
      <c r="D23">
        <v>94639</v>
      </c>
      <c r="E23">
        <v>1031</v>
      </c>
      <c r="F23">
        <v>14668</v>
      </c>
      <c r="G23">
        <v>33997</v>
      </c>
      <c r="H23">
        <v>1.7097204110294894E-3</v>
      </c>
      <c r="I23">
        <v>0.98186801581154892</v>
      </c>
      <c r="J23">
        <f t="shared" si="5"/>
        <v>0.52189250088258521</v>
      </c>
      <c r="K23">
        <f t="shared" si="6"/>
        <v>0.53754927590906276</v>
      </c>
      <c r="L23">
        <f t="shared" si="7"/>
        <v>52.566676092960329</v>
      </c>
      <c r="M23">
        <f t="shared" si="1"/>
        <v>82.914294312694537</v>
      </c>
      <c r="N23">
        <f t="shared" si="0"/>
        <v>544.16431660683702</v>
      </c>
      <c r="O23">
        <f t="shared" si="2"/>
        <v>7503.4659025150459</v>
      </c>
      <c r="P23">
        <f t="shared" si="3"/>
        <v>17391.282403040907</v>
      </c>
      <c r="Q23">
        <f>SUM($L$2:L23)+O23</f>
        <v>8427.8834690658932</v>
      </c>
      <c r="R23">
        <f>SUM($M$2:M23)+P23</f>
        <v>18520.602677978415</v>
      </c>
      <c r="S23">
        <f>SUM($N$2:N23)</f>
        <v>16811.985556832165</v>
      </c>
      <c r="T23">
        <f t="shared" si="4"/>
        <v>-8384.1020877662722</v>
      </c>
    </row>
    <row r="24" spans="1:20" x14ac:dyDescent="0.25">
      <c r="A24">
        <v>23</v>
      </c>
      <c r="B24">
        <v>47</v>
      </c>
      <c r="C24">
        <v>60000</v>
      </c>
      <c r="D24">
        <v>96649</v>
      </c>
      <c r="E24">
        <v>1031</v>
      </c>
      <c r="F24">
        <v>15804</v>
      </c>
      <c r="G24">
        <v>36607</v>
      </c>
      <c r="H24">
        <v>1.9219836759656608E-3</v>
      </c>
      <c r="I24">
        <v>0.98018929602397886</v>
      </c>
      <c r="J24">
        <f t="shared" si="5"/>
        <v>0.50669174842969433</v>
      </c>
      <c r="K24">
        <f t="shared" si="6"/>
        <v>0.52189250088258521</v>
      </c>
      <c r="L24">
        <f t="shared" si="7"/>
        <v>57.273633023736487</v>
      </c>
      <c r="M24">
        <f t="shared" si="1"/>
        <v>92.257322635185133</v>
      </c>
      <c r="N24">
        <f t="shared" si="0"/>
        <v>527.41159977454413</v>
      </c>
      <c r="O24">
        <f t="shared" si="2"/>
        <v>7834.0312258468102</v>
      </c>
      <c r="P24">
        <f t="shared" si="3"/>
        <v>18146.063090646305</v>
      </c>
      <c r="Q24">
        <f>SUM($L$2:L24)+O24</f>
        <v>8815.7224254213943</v>
      </c>
      <c r="R24">
        <f>SUM($M$2:M24)+P24</f>
        <v>19367.640688218999</v>
      </c>
      <c r="S24">
        <f>SUM($N$2:N24)</f>
        <v>17339.397156606708</v>
      </c>
      <c r="T24">
        <f t="shared" si="4"/>
        <v>-8523.6747311853142</v>
      </c>
    </row>
    <row r="25" spans="1:20" x14ac:dyDescent="0.25">
      <c r="A25">
        <v>24</v>
      </c>
      <c r="B25">
        <v>48</v>
      </c>
      <c r="C25">
        <v>60000</v>
      </c>
      <c r="D25">
        <v>98660</v>
      </c>
      <c r="E25">
        <v>1031</v>
      </c>
      <c r="F25">
        <v>16939</v>
      </c>
      <c r="G25">
        <v>39217</v>
      </c>
      <c r="H25">
        <v>2.1498168388953375E-3</v>
      </c>
      <c r="I25">
        <v>0.97830538819766444</v>
      </c>
      <c r="J25">
        <f t="shared" si="5"/>
        <v>0.49193373633950904</v>
      </c>
      <c r="K25">
        <f t="shared" si="6"/>
        <v>0.50669174842969433</v>
      </c>
      <c r="L25">
        <f t="shared" si="7"/>
        <v>62.077434909279525</v>
      </c>
      <c r="M25">
        <f t="shared" si="1"/>
        <v>102.07599546915864</v>
      </c>
      <c r="N25">
        <f t="shared" si="0"/>
        <v>511.06594494103149</v>
      </c>
      <c r="O25">
        <f t="shared" si="2"/>
        <v>8134.5617818340343</v>
      </c>
      <c r="P25">
        <f t="shared" si="3"/>
        <v>18833.054454110948</v>
      </c>
      <c r="Q25">
        <f>SUM($L$2:L25)+O25</f>
        <v>9178.3304163178982</v>
      </c>
      <c r="R25">
        <f>SUM($M$2:M25)+P25</f>
        <v>20156.708047152802</v>
      </c>
      <c r="S25">
        <f>SUM($N$2:N25)</f>
        <v>17850.463101547739</v>
      </c>
      <c r="T25">
        <f t="shared" si="4"/>
        <v>-8672.1326852298407</v>
      </c>
    </row>
    <row r="26" spans="1:20" x14ac:dyDescent="0.25">
      <c r="A26">
        <v>25</v>
      </c>
      <c r="B26">
        <v>49</v>
      </c>
      <c r="C26">
        <v>60000</v>
      </c>
      <c r="D26">
        <v>100671</v>
      </c>
      <c r="E26">
        <v>1031</v>
      </c>
      <c r="F26">
        <v>18075</v>
      </c>
      <c r="G26">
        <v>41827</v>
      </c>
      <c r="H26">
        <v>2.3934882283241461E-3</v>
      </c>
      <c r="I26">
        <v>0.97620221080053515</v>
      </c>
      <c r="J26">
        <f t="shared" si="5"/>
        <v>0.47760556926165926</v>
      </c>
      <c r="K26">
        <f t="shared" si="6"/>
        <v>0.49193373633950904</v>
      </c>
      <c r="L26">
        <f t="shared" si="7"/>
        <v>66.956341460747794</v>
      </c>
      <c r="M26">
        <f t="shared" si="1"/>
        <v>112.34269751991569</v>
      </c>
      <c r="N26">
        <f t="shared" si="0"/>
        <v>495.11383181243815</v>
      </c>
      <c r="O26">
        <f t="shared" si="2"/>
        <v>8407.1103999500774</v>
      </c>
      <c r="P26">
        <f t="shared" si="3"/>
        <v>19454.727894811171</v>
      </c>
      <c r="Q26">
        <f>SUM($L$2:L26)+O26</f>
        <v>9517.8353758946887</v>
      </c>
      <c r="R26">
        <f>SUM($M$2:M26)+P26</f>
        <v>20890.724185372939</v>
      </c>
      <c r="S26">
        <f>SUM($N$2:N26)</f>
        <v>18345.576933360178</v>
      </c>
      <c r="T26">
        <f t="shared" si="4"/>
        <v>-8827.7415574654897</v>
      </c>
    </row>
    <row r="27" spans="1:20" x14ac:dyDescent="0.25">
      <c r="A27">
        <v>26</v>
      </c>
      <c r="B27">
        <v>50</v>
      </c>
      <c r="C27">
        <v>60000</v>
      </c>
      <c r="D27">
        <v>102789</v>
      </c>
      <c r="E27">
        <v>1031</v>
      </c>
      <c r="F27">
        <v>19107</v>
      </c>
      <c r="G27">
        <v>44896</v>
      </c>
      <c r="H27">
        <v>2.6553690405245879E-3</v>
      </c>
      <c r="I27">
        <v>0.97386568230052006</v>
      </c>
      <c r="J27">
        <f t="shared" si="5"/>
        <v>0.4636947274385041</v>
      </c>
      <c r="K27">
        <f t="shared" si="6"/>
        <v>0.47760556926165926</v>
      </c>
      <c r="L27">
        <f t="shared" si="7"/>
        <v>71.946116670184011</v>
      </c>
      <c r="M27">
        <f t="shared" si="1"/>
        <v>123.25448977352573</v>
      </c>
      <c r="N27">
        <f t="shared" si="0"/>
        <v>479.54250746049962</v>
      </c>
      <c r="O27">
        <f t="shared" si="2"/>
        <v>8605.3586922377945</v>
      </c>
      <c r="P27">
        <f t="shared" si="3"/>
        <v>20220.138370581881</v>
      </c>
      <c r="Q27">
        <f>SUM($L$2:L27)+O27</f>
        <v>9788.0297848525897</v>
      </c>
      <c r="R27">
        <f>SUM($M$2:M27)+P27</f>
        <v>21779.389150917174</v>
      </c>
      <c r="S27">
        <f>SUM($N$2:N27)</f>
        <v>18825.119440820679</v>
      </c>
      <c r="T27">
        <f t="shared" si="4"/>
        <v>-9037.0896559680896</v>
      </c>
    </row>
    <row r="28" spans="1:20" x14ac:dyDescent="0.25">
      <c r="A28">
        <v>27</v>
      </c>
      <c r="B28">
        <v>51</v>
      </c>
      <c r="C28">
        <v>60000</v>
      </c>
      <c r="D28">
        <v>104907</v>
      </c>
      <c r="E28">
        <v>1031</v>
      </c>
      <c r="F28">
        <v>20140</v>
      </c>
      <c r="G28">
        <v>47965</v>
      </c>
      <c r="H28">
        <v>2.9358280795645656E-3</v>
      </c>
      <c r="I28">
        <v>0.97127970951810982</v>
      </c>
      <c r="J28">
        <f t="shared" si="5"/>
        <v>0.45018905576553797</v>
      </c>
      <c r="K28">
        <f t="shared" si="6"/>
        <v>0.4636947274385041</v>
      </c>
      <c r="L28">
        <f t="shared" si="7"/>
        <v>77.023122263624387</v>
      </c>
      <c r="M28">
        <f t="shared" si="1"/>
        <v>134.67107812183406</v>
      </c>
      <c r="N28">
        <f t="shared" si="0"/>
        <v>464.33897585686736</v>
      </c>
      <c r="O28">
        <f t="shared" si="2"/>
        <v>8780.5521408808945</v>
      </c>
      <c r="P28">
        <f t="shared" si="3"/>
        <v>20911.578124992655</v>
      </c>
      <c r="Q28">
        <f>SUM($L$2:L28)+O28</f>
        <v>10040.246355759315</v>
      </c>
      <c r="R28">
        <f>SUM($M$2:M28)+P28</f>
        <v>22605.499983449783</v>
      </c>
      <c r="S28">
        <f>SUM($N$2:N28)</f>
        <v>19289.458416677546</v>
      </c>
      <c r="T28">
        <f t="shared" si="4"/>
        <v>-9249.2120609182311</v>
      </c>
    </row>
    <row r="29" spans="1:20" x14ac:dyDescent="0.25">
      <c r="A29">
        <v>28</v>
      </c>
      <c r="B29">
        <v>52</v>
      </c>
      <c r="C29">
        <v>60000</v>
      </c>
      <c r="D29">
        <v>107026</v>
      </c>
      <c r="E29">
        <v>1031</v>
      </c>
      <c r="F29">
        <v>21172</v>
      </c>
      <c r="G29">
        <v>51034</v>
      </c>
      <c r="H29">
        <v>3.2373618772336705E-3</v>
      </c>
      <c r="I29">
        <v>0.96842819927379531</v>
      </c>
      <c r="J29">
        <f t="shared" si="5"/>
        <v>0.43707675317042521</v>
      </c>
      <c r="K29">
        <f t="shared" si="6"/>
        <v>0.45018905576553797</v>
      </c>
      <c r="L29">
        <f t="shared" si="7"/>
        <v>82.218137393440941</v>
      </c>
      <c r="M29">
        <f t="shared" si="1"/>
        <v>146.65797287784017</v>
      </c>
      <c r="N29">
        <f t="shared" si="0"/>
        <v>449.49102568263169</v>
      </c>
      <c r="O29">
        <f t="shared" si="2"/>
        <v>8932.618195200117</v>
      </c>
      <c r="P29">
        <f t="shared" si="3"/>
        <v>21531.609530221176</v>
      </c>
      <c r="Q29">
        <f>SUM($L$2:L29)+O29</f>
        <v>10274.530547471979</v>
      </c>
      <c r="R29">
        <f>SUM($M$2:M29)+P29</f>
        <v>23372.189361556146</v>
      </c>
      <c r="S29">
        <f>SUM($N$2:N29)</f>
        <v>19738.949442360179</v>
      </c>
      <c r="T29">
        <f t="shared" si="4"/>
        <v>-9464.4188948882002</v>
      </c>
    </row>
    <row r="30" spans="1:20" x14ac:dyDescent="0.25">
      <c r="A30">
        <v>29</v>
      </c>
      <c r="B30">
        <v>53</v>
      </c>
      <c r="C30">
        <v>60000</v>
      </c>
      <c r="D30">
        <v>109144</v>
      </c>
      <c r="E30">
        <v>1031</v>
      </c>
      <c r="F30">
        <v>22205</v>
      </c>
      <c r="G30">
        <v>54103</v>
      </c>
      <c r="H30">
        <v>3.5667247401282064E-3</v>
      </c>
      <c r="I30">
        <v>0.96529304674062821</v>
      </c>
      <c r="J30">
        <f t="shared" si="5"/>
        <v>0.42434636230138367</v>
      </c>
      <c r="K30">
        <f t="shared" si="6"/>
        <v>0.43707675317042521</v>
      </c>
      <c r="L30">
        <f t="shared" si="7"/>
        <v>87.659806167166067</v>
      </c>
      <c r="M30">
        <f t="shared" si="1"/>
        <v>159.4590314051529</v>
      </c>
      <c r="N30">
        <f t="shared" si="0"/>
        <v>434.9862723999301</v>
      </c>
      <c r="O30">
        <f t="shared" si="2"/>
        <v>9063.1394229493508</v>
      </c>
      <c r="P30">
        <f t="shared" si="3"/>
        <v>22082.55042557211</v>
      </c>
      <c r="Q30">
        <f>SUM($L$2:L30)+O30</f>
        <v>10492.711581388377</v>
      </c>
      <c r="R30">
        <f>SUM($M$2:M30)+P30</f>
        <v>24082.589288312232</v>
      </c>
      <c r="S30">
        <f>SUM($N$2:N30)</f>
        <v>20173.935714760108</v>
      </c>
      <c r="T30">
        <f t="shared" si="4"/>
        <v>-9681.2241333717302</v>
      </c>
    </row>
    <row r="31" spans="1:20" x14ac:dyDescent="0.25">
      <c r="A31">
        <v>30</v>
      </c>
      <c r="B31">
        <v>54</v>
      </c>
      <c r="C31">
        <v>60000</v>
      </c>
      <c r="D31">
        <v>111262</v>
      </c>
      <c r="E31">
        <v>1031</v>
      </c>
      <c r="F31">
        <v>23237</v>
      </c>
      <c r="G31">
        <v>57172</v>
      </c>
      <c r="H31">
        <v>3.926670089649381E-3</v>
      </c>
      <c r="I31">
        <v>0.96185011214934468</v>
      </c>
      <c r="J31">
        <f t="shared" si="5"/>
        <v>0.41198675951590646</v>
      </c>
      <c r="K31">
        <f t="shared" si="6"/>
        <v>0.42434636230138367</v>
      </c>
      <c r="L31">
        <f t="shared" si="7"/>
        <v>93.361178140366448</v>
      </c>
      <c r="M31">
        <f t="shared" si="1"/>
        <v>173.12585670422416</v>
      </c>
      <c r="N31">
        <f t="shared" si="0"/>
        <v>420.81048165101464</v>
      </c>
      <c r="O31">
        <f t="shared" si="2"/>
        <v>9171.9573952176543</v>
      </c>
      <c r="P31">
        <f t="shared" si="3"/>
        <v>22566.559719386481</v>
      </c>
      <c r="Q31">
        <f>SUM($L$2:L31)+O31</f>
        <v>10694.890731797048</v>
      </c>
      <c r="R31">
        <f>SUM($M$2:M31)+P31</f>
        <v>24739.724438830828</v>
      </c>
      <c r="S31">
        <f>SUM($N$2:N31)</f>
        <v>20594.746196411121</v>
      </c>
      <c r="T31">
        <f t="shared" si="4"/>
        <v>-9899.8554646140728</v>
      </c>
    </row>
    <row r="32" spans="1:20" x14ac:dyDescent="0.25">
      <c r="A32">
        <v>31</v>
      </c>
      <c r="B32">
        <v>55</v>
      </c>
      <c r="C32">
        <v>60000</v>
      </c>
      <c r="D32">
        <v>113742</v>
      </c>
      <c r="E32">
        <v>1031</v>
      </c>
      <c r="F32">
        <v>23712</v>
      </c>
      <c r="G32">
        <v>60460</v>
      </c>
      <c r="H32">
        <v>4.3211418900901393E-3</v>
      </c>
      <c r="I32">
        <v>0.95807324408324201</v>
      </c>
      <c r="J32">
        <f t="shared" si="5"/>
        <v>0.39998714516107425</v>
      </c>
      <c r="K32">
        <f t="shared" si="6"/>
        <v>0.41198675951590646</v>
      </c>
      <c r="L32">
        <f t="shared" si="7"/>
        <v>99.356097171602499</v>
      </c>
      <c r="M32">
        <f t="shared" si="1"/>
        <v>188.34935340820684</v>
      </c>
      <c r="N32">
        <f t="shared" si="0"/>
        <v>406.94960943621817</v>
      </c>
      <c r="O32">
        <f t="shared" si="2"/>
        <v>9047.5755417975961</v>
      </c>
      <c r="P32">
        <f t="shared" si="3"/>
        <v>23069.180889721774</v>
      </c>
      <c r="Q32">
        <f>SUM($L$2:L32)+O32</f>
        <v>10669.864975548593</v>
      </c>
      <c r="R32">
        <f>SUM($M$2:M32)+P32</f>
        <v>25430.694962574325</v>
      </c>
      <c r="S32">
        <f>SUM($N$2:N32)</f>
        <v>21001.695805847339</v>
      </c>
      <c r="T32">
        <f t="shared" si="4"/>
        <v>-10331.830830298746</v>
      </c>
    </row>
    <row r="33" spans="1:20" x14ac:dyDescent="0.25">
      <c r="A33">
        <v>32</v>
      </c>
      <c r="B33">
        <v>56</v>
      </c>
      <c r="C33">
        <v>60000</v>
      </c>
      <c r="D33">
        <v>116222</v>
      </c>
      <c r="E33">
        <v>0</v>
      </c>
      <c r="F33">
        <v>24187</v>
      </c>
      <c r="G33">
        <v>63748</v>
      </c>
      <c r="H33">
        <v>4.7426745816682662E-3</v>
      </c>
      <c r="I33">
        <v>0.95393327365445935</v>
      </c>
      <c r="J33">
        <f t="shared" si="5"/>
        <v>0.3883370341369653</v>
      </c>
      <c r="K33">
        <f t="shared" si="6"/>
        <v>0.39998714516107425</v>
      </c>
      <c r="L33">
        <f>C33*H33*I33*J33</f>
        <v>105.41475017640559</v>
      </c>
      <c r="M33">
        <f t="shared" si="1"/>
        <v>204.19188491670351</v>
      </c>
      <c r="N33">
        <f t="shared" si="0"/>
        <v>0</v>
      </c>
      <c r="O33">
        <f t="shared" si="2"/>
        <v>8917.5221000381061</v>
      </c>
      <c r="P33">
        <f t="shared" si="3"/>
        <v>23503.295110316663</v>
      </c>
      <c r="Q33">
        <f>SUM($L$2:L33)+O33</f>
        <v>10645.226283965509</v>
      </c>
      <c r="R33">
        <f>SUM($M$2:M33)+P33</f>
        <v>26069.00106808592</v>
      </c>
      <c r="S33">
        <f>SUM($N$2:N33)</f>
        <v>21001.695805847339</v>
      </c>
      <c r="T33">
        <f t="shared" si="4"/>
        <v>-10356.469521881831</v>
      </c>
    </row>
    <row r="34" spans="1:20" x14ac:dyDescent="0.25">
      <c r="A34">
        <v>33</v>
      </c>
      <c r="B34">
        <v>57</v>
      </c>
      <c r="C34">
        <v>60000</v>
      </c>
      <c r="D34">
        <v>118702</v>
      </c>
      <c r="E34">
        <v>0</v>
      </c>
      <c r="F34">
        <v>24661</v>
      </c>
      <c r="G34">
        <v>67036</v>
      </c>
      <c r="H34">
        <v>5.1869242047987525E-3</v>
      </c>
      <c r="I34">
        <v>0.94940907856489076</v>
      </c>
      <c r="J34">
        <f t="shared" si="5"/>
        <v>0.37702624673491775</v>
      </c>
      <c r="K34">
        <f t="shared" si="6"/>
        <v>0.3883370341369653</v>
      </c>
      <c r="L34">
        <f t="shared" si="7"/>
        <v>111.40023761664985</v>
      </c>
      <c r="M34">
        <f t="shared" si="1"/>
        <v>220.39051675952618</v>
      </c>
      <c r="N34">
        <f t="shared" ref="N34:N66" si="8">E34*I34*K34</f>
        <v>0</v>
      </c>
      <c r="O34">
        <f t="shared" si="2"/>
        <v>8781.6704073823639</v>
      </c>
      <c r="P34">
        <f t="shared" si="3"/>
        <v>23871.215985940722</v>
      </c>
      <c r="Q34">
        <f>SUM($L$2:L34)+O34</f>
        <v>10620.774828926416</v>
      </c>
      <c r="R34">
        <f>SUM($M$2:M34)+P34</f>
        <v>26657.312460469504</v>
      </c>
      <c r="S34">
        <f>SUM($N$2:N34)</f>
        <v>21001.695805847339</v>
      </c>
      <c r="T34">
        <f t="shared" si="4"/>
        <v>-10380.920976920923</v>
      </c>
    </row>
    <row r="35" spans="1:20" x14ac:dyDescent="0.25">
      <c r="A35">
        <v>34</v>
      </c>
      <c r="B35">
        <v>58</v>
      </c>
      <c r="C35">
        <v>60000</v>
      </c>
      <c r="D35">
        <v>121182</v>
      </c>
      <c r="E35">
        <v>0</v>
      </c>
      <c r="F35">
        <v>25136</v>
      </c>
      <c r="G35">
        <v>70324</v>
      </c>
      <c r="H35">
        <v>5.6601804442096837E-3</v>
      </c>
      <c r="I35">
        <v>0.94448456563502681</v>
      </c>
      <c r="J35">
        <f t="shared" si="5"/>
        <v>0.3660448997426386</v>
      </c>
      <c r="K35">
        <f t="shared" si="6"/>
        <v>0.37702624673491775</v>
      </c>
      <c r="L35">
        <f t="shared" si="7"/>
        <v>117.41153129412041</v>
      </c>
      <c r="M35">
        <f t="shared" si="1"/>
        <v>237.13606975473502</v>
      </c>
      <c r="N35">
        <f t="shared" si="8"/>
        <v>0</v>
      </c>
      <c r="O35">
        <f t="shared" si="2"/>
        <v>8640.9247803382987</v>
      </c>
      <c r="P35">
        <f t="shared" si="3"/>
        <v>24175.063425068052</v>
      </c>
      <c r="Q35">
        <f>SUM($L$2:L35)+O35</f>
        <v>10597.440733176471</v>
      </c>
      <c r="R35">
        <f>SUM($M$2:M35)+P35</f>
        <v>27198.29596935157</v>
      </c>
      <c r="S35">
        <f>SUM($N$2:N35)</f>
        <v>21001.695805847339</v>
      </c>
      <c r="T35">
        <f t="shared" si="4"/>
        <v>-10404.255072670869</v>
      </c>
    </row>
    <row r="36" spans="1:20" x14ac:dyDescent="0.25">
      <c r="A36">
        <v>35</v>
      </c>
      <c r="B36">
        <v>59</v>
      </c>
      <c r="C36">
        <v>60000</v>
      </c>
      <c r="D36">
        <v>123662</v>
      </c>
      <c r="E36">
        <v>0</v>
      </c>
      <c r="F36">
        <v>25611</v>
      </c>
      <c r="G36">
        <v>73612</v>
      </c>
      <c r="H36">
        <v>6.1732824533764019E-3</v>
      </c>
      <c r="I36">
        <v>0.93913861256676157</v>
      </c>
      <c r="J36">
        <f t="shared" si="5"/>
        <v>0.35538339780838696</v>
      </c>
      <c r="K36">
        <f t="shared" si="6"/>
        <v>0.3660448997426386</v>
      </c>
      <c r="L36">
        <f t="shared" si="7"/>
        <v>123.62156314868342</v>
      </c>
      <c r="M36">
        <f t="shared" si="1"/>
        <v>254.78816236820816</v>
      </c>
      <c r="N36">
        <f t="shared" si="8"/>
        <v>0</v>
      </c>
      <c r="O36">
        <f t="shared" si="2"/>
        <v>8495.0127741165707</v>
      </c>
      <c r="P36">
        <f t="shared" si="3"/>
        <v>24416.652232566827</v>
      </c>
      <c r="Q36">
        <f>SUM($L$2:L36)+O36</f>
        <v>10575.150290103426</v>
      </c>
      <c r="R36">
        <f>SUM($M$2:M36)+P36</f>
        <v>27694.672939218552</v>
      </c>
      <c r="S36">
        <f>SUM($N$2:N36)</f>
        <v>21001.695805847339</v>
      </c>
      <c r="T36">
        <f t="shared" si="4"/>
        <v>-10426.545515743914</v>
      </c>
    </row>
    <row r="37" spans="1:20" x14ac:dyDescent="0.25">
      <c r="A37">
        <v>36</v>
      </c>
      <c r="B37">
        <v>60</v>
      </c>
      <c r="C37">
        <v>60000</v>
      </c>
      <c r="D37">
        <v>126493</v>
      </c>
      <c r="E37">
        <v>0</v>
      </c>
      <c r="F37">
        <v>25931</v>
      </c>
      <c r="G37">
        <v>77467</v>
      </c>
      <c r="H37">
        <v>6.7407593403431484E-3</v>
      </c>
      <c r="I37">
        <v>0.93334104464851486</v>
      </c>
      <c r="J37">
        <f t="shared" si="5"/>
        <v>0.34503242505668635</v>
      </c>
      <c r="K37">
        <f t="shared" si="6"/>
        <v>0.35538339780838696</v>
      </c>
      <c r="L37">
        <f t="shared" si="7"/>
        <v>130.24478643724603</v>
      </c>
      <c r="M37">
        <f t="shared" si="1"/>
        <v>274.58422951344272</v>
      </c>
      <c r="N37">
        <f t="shared" si="8"/>
        <v>0</v>
      </c>
      <c r="O37">
        <f t="shared" si="2"/>
        <v>8294.3461273299708</v>
      </c>
      <c r="P37">
        <f t="shared" si="3"/>
        <v>24778.763312092509</v>
      </c>
      <c r="Q37">
        <f>SUM($L$2:L37)+O37</f>
        <v>10504.728429754072</v>
      </c>
      <c r="R37">
        <f>SUM($M$2:M37)+P37</f>
        <v>28331.368248257677</v>
      </c>
      <c r="S37">
        <f>SUM($N$2:N37)</f>
        <v>21001.695805847339</v>
      </c>
      <c r="T37">
        <f t="shared" si="4"/>
        <v>-10496.967376093267</v>
      </c>
    </row>
    <row r="38" spans="1:20" x14ac:dyDescent="0.25">
      <c r="A38">
        <v>37</v>
      </c>
      <c r="B38">
        <v>61</v>
      </c>
      <c r="C38">
        <v>60000</v>
      </c>
      <c r="D38">
        <v>129323</v>
      </c>
      <c r="E38">
        <v>0</v>
      </c>
      <c r="F38">
        <v>26250</v>
      </c>
      <c r="G38">
        <v>81321</v>
      </c>
      <c r="H38">
        <v>7.3680510197660365E-3</v>
      </c>
      <c r="I38">
        <v>0.92704961728407476</v>
      </c>
      <c r="J38">
        <f t="shared" si="5"/>
        <v>0.33498293694823916</v>
      </c>
      <c r="K38">
        <f t="shared" si="6"/>
        <v>0.34503242505668635</v>
      </c>
      <c r="L38">
        <f t="shared" si="7"/>
        <v>137.28703944732956</v>
      </c>
      <c r="M38">
        <f t="shared" si="1"/>
        <v>295.90619670745002</v>
      </c>
      <c r="N38">
        <f t="shared" si="8"/>
        <v>0</v>
      </c>
      <c r="O38">
        <f t="shared" si="2"/>
        <v>8091.7642619740054</v>
      </c>
      <c r="P38">
        <f t="shared" si="3"/>
        <v>25067.823297066214</v>
      </c>
      <c r="Q38">
        <f>SUM($L$2:L38)+O38</f>
        <v>10439.433603845437</v>
      </c>
      <c r="R38">
        <f>SUM($M$2:M38)+P38</f>
        <v>28916.334429938834</v>
      </c>
      <c r="S38">
        <f>SUM($N$2:N38)</f>
        <v>21001.695805847339</v>
      </c>
      <c r="T38">
        <f t="shared" si="4"/>
        <v>-10562.262202001903</v>
      </c>
    </row>
    <row r="39" spans="1:20" x14ac:dyDescent="0.25">
      <c r="A39">
        <v>38</v>
      </c>
      <c r="B39">
        <v>62</v>
      </c>
      <c r="C39">
        <v>60000</v>
      </c>
      <c r="D39">
        <v>132154</v>
      </c>
      <c r="E39">
        <v>0</v>
      </c>
      <c r="F39">
        <v>26570</v>
      </c>
      <c r="G39">
        <v>85176</v>
      </c>
      <c r="H39">
        <v>8.0665347019481005E-3</v>
      </c>
      <c r="I39">
        <v>0.92021906840607115</v>
      </c>
      <c r="J39">
        <f t="shared" si="5"/>
        <v>0.3252261523769312</v>
      </c>
      <c r="K39">
        <f t="shared" si="6"/>
        <v>0.33498293694823916</v>
      </c>
      <c r="L39">
        <f t="shared" si="7"/>
        <v>144.84881491083888</v>
      </c>
      <c r="M39">
        <f t="shared" si="1"/>
        <v>319.03917142878339</v>
      </c>
      <c r="N39">
        <f t="shared" si="8"/>
        <v>0</v>
      </c>
      <c r="O39">
        <f t="shared" si="2"/>
        <v>7887.7073024331121</v>
      </c>
      <c r="P39">
        <f t="shared" si="3"/>
        <v>25285.786872113011</v>
      </c>
      <c r="Q39">
        <f>SUM($L$2:L39)+O39</f>
        <v>10380.225459215382</v>
      </c>
      <c r="R39">
        <f>SUM($M$2:M39)+P39</f>
        <v>29453.33717641441</v>
      </c>
      <c r="S39">
        <f>SUM($N$2:N39)</f>
        <v>21001.695805847339</v>
      </c>
      <c r="T39">
        <f t="shared" si="4"/>
        <v>-10621.470346631957</v>
      </c>
    </row>
    <row r="40" spans="1:20" x14ac:dyDescent="0.25">
      <c r="A40">
        <v>39</v>
      </c>
      <c r="B40">
        <v>63</v>
      </c>
      <c r="C40">
        <v>60000</v>
      </c>
      <c r="D40">
        <v>134984</v>
      </c>
      <c r="E40">
        <v>0</v>
      </c>
      <c r="F40">
        <v>26889</v>
      </c>
      <c r="G40">
        <v>89030</v>
      </c>
      <c r="H40">
        <v>8.857192915567965E-3</v>
      </c>
      <c r="I40">
        <v>0.91279608935737921</v>
      </c>
      <c r="J40">
        <f t="shared" si="5"/>
        <v>0.31575354599702055</v>
      </c>
      <c r="K40">
        <f t="shared" si="6"/>
        <v>0.3252261523769312</v>
      </c>
      <c r="L40">
        <f t="shared" si="7"/>
        <v>153.16846557914633</v>
      </c>
      <c r="M40">
        <f t="shared" si="1"/>
        <v>344.58820262892476</v>
      </c>
      <c r="N40">
        <f t="shared" si="8"/>
        <v>0</v>
      </c>
      <c r="O40">
        <f t="shared" si="2"/>
        <v>7681.267540973924</v>
      </c>
      <c r="P40">
        <f t="shared" si="3"/>
        <v>25432.825660043454</v>
      </c>
      <c r="Q40">
        <f>SUM($L$2:L40)+O40</f>
        <v>10326.95416333534</v>
      </c>
      <c r="R40">
        <f>SUM($M$2:M40)+P40</f>
        <v>29944.964166973779</v>
      </c>
      <c r="S40">
        <f>SUM($N$2:N40)</f>
        <v>21001.695805847339</v>
      </c>
      <c r="T40">
        <f t="shared" si="4"/>
        <v>-10674.741642511999</v>
      </c>
    </row>
    <row r="41" spans="1:20" x14ac:dyDescent="0.25">
      <c r="A41">
        <v>40</v>
      </c>
      <c r="B41">
        <v>64</v>
      </c>
      <c r="C41">
        <v>60000</v>
      </c>
      <c r="D41">
        <v>137815</v>
      </c>
      <c r="E41">
        <v>0</v>
      </c>
      <c r="F41">
        <v>27209</v>
      </c>
      <c r="G41">
        <v>92885</v>
      </c>
      <c r="H41">
        <v>9.7612713222075594E-3</v>
      </c>
      <c r="I41">
        <v>0.90471127830136489</v>
      </c>
      <c r="J41">
        <f t="shared" si="5"/>
        <v>0.30655684077380635</v>
      </c>
      <c r="K41">
        <f t="shared" si="6"/>
        <v>0.31575354599702055</v>
      </c>
      <c r="L41">
        <f t="shared" si="7"/>
        <v>162.43464028690235</v>
      </c>
      <c r="M41">
        <f t="shared" si="1"/>
        <v>373.09883251899083</v>
      </c>
      <c r="N41">
        <f t="shared" si="8"/>
        <v>0</v>
      </c>
      <c r="O41">
        <f t="shared" si="2"/>
        <v>7472.6304378026462</v>
      </c>
      <c r="P41">
        <f t="shared" si="3"/>
        <v>25509.768025848018</v>
      </c>
      <c r="Q41">
        <f>SUM($L$2:L41)+O41</f>
        <v>10280.751700450965</v>
      </c>
      <c r="R41">
        <f>SUM($M$2:M41)+P41</f>
        <v>30395.005365297337</v>
      </c>
      <c r="S41">
        <f>SUM($N$2:N41)</f>
        <v>21001.695805847339</v>
      </c>
      <c r="T41">
        <f t="shared" si="4"/>
        <v>-10720.944105396375</v>
      </c>
    </row>
    <row r="42" spans="1:20" x14ac:dyDescent="0.25">
      <c r="A42">
        <v>41</v>
      </c>
      <c r="B42">
        <v>65</v>
      </c>
      <c r="C42">
        <v>60000</v>
      </c>
      <c r="D42">
        <v>146813</v>
      </c>
      <c r="E42">
        <v>0</v>
      </c>
      <c r="F42">
        <v>27529</v>
      </c>
      <c r="G42">
        <v>96806</v>
      </c>
      <c r="H42">
        <v>1.08028243176942E-2</v>
      </c>
      <c r="I42">
        <v>0.89588014604560406</v>
      </c>
      <c r="J42">
        <f t="shared" si="5"/>
        <v>0.29762800075126827</v>
      </c>
      <c r="K42">
        <f t="shared" si="6"/>
        <v>0.30655684077380635</v>
      </c>
      <c r="L42">
        <f t="shared" si="7"/>
        <v>172.82726727122258</v>
      </c>
      <c r="M42">
        <f t="shared" si="1"/>
        <v>422.88815983149999</v>
      </c>
      <c r="N42">
        <f t="shared" si="8"/>
        <v>0</v>
      </c>
      <c r="O42">
        <f t="shared" si="2"/>
        <v>7261.0094622665911</v>
      </c>
      <c r="P42">
        <f>G42*I43*J42</f>
        <v>25533.411384510138</v>
      </c>
      <c r="Q42">
        <f>SUM($L$2:L42)+O42</f>
        <v>10241.957992186133</v>
      </c>
      <c r="R42">
        <f>SUM($M$2:M42)+P42</f>
        <v>30841.536883790955</v>
      </c>
      <c r="S42">
        <f>SUM($N$2:N42)</f>
        <v>21001.695805847339</v>
      </c>
      <c r="T42">
        <f t="shared" si="4"/>
        <v>-10759.737813661206</v>
      </c>
    </row>
    <row r="43" spans="1:20" x14ac:dyDescent="0.25">
      <c r="A43">
        <v>42</v>
      </c>
      <c r="B43">
        <v>66</v>
      </c>
      <c r="C43">
        <v>60000</v>
      </c>
      <c r="D43">
        <v>151942</v>
      </c>
      <c r="E43">
        <v>0</v>
      </c>
      <c r="F43">
        <v>27849</v>
      </c>
      <c r="G43">
        <v>101353</v>
      </c>
      <c r="H43">
        <v>1.1994493065825569E-2</v>
      </c>
      <c r="I43">
        <v>0.8862021102181632</v>
      </c>
      <c r="J43">
        <f t="shared" si="5"/>
        <v>0.28895922403035756</v>
      </c>
      <c r="K43">
        <f t="shared" si="6"/>
        <v>0.29762800075126827</v>
      </c>
      <c r="L43">
        <f t="shared" si="7"/>
        <v>184.29030564284119</v>
      </c>
      <c r="M43">
        <f t="shared" si="1"/>
        <v>466.69062699974296</v>
      </c>
      <c r="N43">
        <f t="shared" si="8"/>
        <v>0</v>
      </c>
      <c r="O43">
        <f t="shared" si="2"/>
        <v>7045.9298121221309</v>
      </c>
      <c r="P43">
        <f t="shared" si="3"/>
        <v>25642.792353334567</v>
      </c>
      <c r="Q43">
        <f>SUM($L$2:L43)+O43</f>
        <v>10211.168647684513</v>
      </c>
      <c r="R43">
        <f>SUM($M$2:M43)+P43</f>
        <v>31417.608479615126</v>
      </c>
      <c r="S43">
        <f>SUM($N$2:N43)</f>
        <v>21001.695805847339</v>
      </c>
      <c r="T43">
        <f t="shared" si="4"/>
        <v>-10790.527158162826</v>
      </c>
    </row>
    <row r="44" spans="1:20" x14ac:dyDescent="0.25">
      <c r="A44">
        <v>43</v>
      </c>
      <c r="B44">
        <v>67</v>
      </c>
      <c r="C44">
        <v>60000</v>
      </c>
      <c r="D44">
        <v>157071</v>
      </c>
      <c r="E44">
        <v>0</v>
      </c>
      <c r="F44">
        <v>28169</v>
      </c>
      <c r="G44">
        <v>105901</v>
      </c>
      <c r="H44">
        <v>1.334860419780288E-2</v>
      </c>
      <c r="I44">
        <v>0.87557256515223147</v>
      </c>
      <c r="J44">
        <f t="shared" si="5"/>
        <v>0.28054293595180346</v>
      </c>
      <c r="K44">
        <f t="shared" si="6"/>
        <v>0.28895922403035756</v>
      </c>
      <c r="L44">
        <f t="shared" si="7"/>
        <v>196.73362262057049</v>
      </c>
      <c r="M44">
        <f t="shared" si="1"/>
        <v>515.01911397726053</v>
      </c>
      <c r="N44">
        <f t="shared" si="8"/>
        <v>0</v>
      </c>
      <c r="O44">
        <f t="shared" si="2"/>
        <v>6826.9488219130626</v>
      </c>
      <c r="P44">
        <f t="shared" si="3"/>
        <v>25665.827938138209</v>
      </c>
      <c r="Q44">
        <f>SUM($L$2:L44)+O44</f>
        <v>10188.921280096016</v>
      </c>
      <c r="R44">
        <f>SUM($M$2:M44)+P44</f>
        <v>31955.663178396029</v>
      </c>
      <c r="S44">
        <f>SUM($N$2:N44)</f>
        <v>21001.695805847339</v>
      </c>
      <c r="T44">
        <f t="shared" si="4"/>
        <v>-10812.774525751323</v>
      </c>
    </row>
    <row r="45" spans="1:20" x14ac:dyDescent="0.25">
      <c r="A45">
        <v>44</v>
      </c>
      <c r="B45">
        <v>68</v>
      </c>
      <c r="C45">
        <v>60000</v>
      </c>
      <c r="D45">
        <v>162199</v>
      </c>
      <c r="E45">
        <v>0</v>
      </c>
      <c r="F45">
        <v>28488</v>
      </c>
      <c r="G45">
        <v>110448</v>
      </c>
      <c r="H45">
        <v>1.4869312816763168E-2</v>
      </c>
      <c r="I45">
        <v>0.86388489353355935</v>
      </c>
      <c r="J45">
        <f t="shared" si="5"/>
        <v>0.27237178247747906</v>
      </c>
      <c r="K45">
        <f t="shared" si="6"/>
        <v>0.28054293595180346</v>
      </c>
      <c r="L45">
        <f t="shared" si="7"/>
        <v>209.92305653855132</v>
      </c>
      <c r="M45">
        <f t="shared" si="1"/>
        <v>567.48849745827488</v>
      </c>
      <c r="N45">
        <f t="shared" si="8"/>
        <v>0</v>
      </c>
      <c r="O45">
        <f t="shared" si="2"/>
        <v>6603.4942050882391</v>
      </c>
      <c r="P45">
        <f t="shared" si="3"/>
        <v>25601.752596306724</v>
      </c>
      <c r="Q45">
        <f>SUM($L$2:L45)+O45</f>
        <v>10175.389719809744</v>
      </c>
      <c r="R45">
        <f>SUM($M$2:M45)+P45</f>
        <v>32459.076334022819</v>
      </c>
      <c r="S45">
        <f>SUM($N$2:N45)</f>
        <v>21001.695805847339</v>
      </c>
      <c r="T45">
        <f t="shared" si="4"/>
        <v>-10826.306086037595</v>
      </c>
    </row>
    <row r="46" spans="1:20" x14ac:dyDescent="0.25">
      <c r="A46">
        <v>45</v>
      </c>
      <c r="B46">
        <v>69</v>
      </c>
      <c r="C46">
        <v>60000</v>
      </c>
      <c r="D46">
        <v>167328</v>
      </c>
      <c r="E46">
        <v>0</v>
      </c>
      <c r="F46">
        <v>28808</v>
      </c>
      <c r="G46">
        <v>114996</v>
      </c>
      <c r="H46">
        <v>1.6578183502893234E-2</v>
      </c>
      <c r="I46">
        <v>0.85103951881393269</v>
      </c>
      <c r="J46">
        <f t="shared" si="5"/>
        <v>0.26443862376454275</v>
      </c>
      <c r="K46">
        <f t="shared" si="6"/>
        <v>0.27237178247747906</v>
      </c>
      <c r="L46">
        <f t="shared" si="7"/>
        <v>223.85294307310775</v>
      </c>
      <c r="M46">
        <f t="shared" si="1"/>
        <v>624.28108764228296</v>
      </c>
      <c r="N46">
        <f t="shared" si="8"/>
        <v>0</v>
      </c>
      <c r="O46">
        <f t="shared" si="2"/>
        <v>6375.6954328014053</v>
      </c>
      <c r="P46">
        <f t="shared" si="3"/>
        <v>25450.550957735017</v>
      </c>
      <c r="Q46">
        <f>SUM($L$2:L46)+O46</f>
        <v>10171.443890596018</v>
      </c>
      <c r="R46">
        <f>SUM($M$2:M46)+P46</f>
        <v>32932.155783093396</v>
      </c>
      <c r="S46">
        <f>SUM($N$2:N46)</f>
        <v>21001.695805847339</v>
      </c>
      <c r="T46">
        <f t="shared" si="4"/>
        <v>-10830.251915251321</v>
      </c>
    </row>
    <row r="47" spans="1:20" x14ac:dyDescent="0.25">
      <c r="A47">
        <v>46</v>
      </c>
      <c r="B47">
        <v>70</v>
      </c>
      <c r="C47">
        <v>60000</v>
      </c>
      <c r="D47">
        <v>172457</v>
      </c>
      <c r="E47">
        <v>0</v>
      </c>
      <c r="F47">
        <v>29128</v>
      </c>
      <c r="G47">
        <v>119543</v>
      </c>
      <c r="H47">
        <v>1.8488495766658456E-2</v>
      </c>
      <c r="I47">
        <v>0.83693082950282138</v>
      </c>
      <c r="J47">
        <f t="shared" si="5"/>
        <v>0.25673652792674051</v>
      </c>
      <c r="K47">
        <f t="shared" si="6"/>
        <v>0.26443862376454275</v>
      </c>
      <c r="L47">
        <f t="shared" si="7"/>
        <v>238.35817859154366</v>
      </c>
      <c r="M47">
        <f t="shared" si="1"/>
        <v>685.10894008936395</v>
      </c>
      <c r="N47">
        <f t="shared" si="8"/>
        <v>0</v>
      </c>
      <c r="O47">
        <f t="shared" si="2"/>
        <v>6143.039244283078</v>
      </c>
      <c r="P47">
        <f t="shared" si="3"/>
        <v>25211.389054495059</v>
      </c>
      <c r="Q47">
        <f>SUM($L$2:L47)+O47</f>
        <v>10177.145880669234</v>
      </c>
      <c r="R47">
        <f>SUM($M$2:M47)+P47</f>
        <v>33378.102819942804</v>
      </c>
      <c r="S47">
        <f>SUM($N$2:N47)</f>
        <v>21001.695805847339</v>
      </c>
      <c r="T47">
        <f t="shared" si="4"/>
        <v>-10824.549925178106</v>
      </c>
    </row>
    <row r="48" spans="1:20" x14ac:dyDescent="0.25">
      <c r="A48">
        <v>47</v>
      </c>
      <c r="B48">
        <v>71</v>
      </c>
      <c r="C48">
        <v>60000</v>
      </c>
      <c r="D48">
        <v>179224</v>
      </c>
      <c r="E48">
        <v>0</v>
      </c>
      <c r="F48">
        <v>29448</v>
      </c>
      <c r="G48">
        <v>125684</v>
      </c>
      <c r="H48">
        <v>2.055709494662061E-2</v>
      </c>
      <c r="I48">
        <v>0.82145723740457244</v>
      </c>
      <c r="J48">
        <f t="shared" si="5"/>
        <v>0.24925876497741797</v>
      </c>
      <c r="K48">
        <f t="shared" si="6"/>
        <v>0.25673652792674051</v>
      </c>
      <c r="L48">
        <f t="shared" si="7"/>
        <v>252.55059224143008</v>
      </c>
      <c r="M48">
        <f t="shared" si="1"/>
        <v>754.38545573130102</v>
      </c>
      <c r="N48">
        <f t="shared" si="8"/>
        <v>0</v>
      </c>
      <c r="O48">
        <f t="shared" si="2"/>
        <v>5905.685673749239</v>
      </c>
      <c r="P48">
        <f t="shared" si="3"/>
        <v>25205.453620602395</v>
      </c>
      <c r="Q48">
        <f>SUM($L$2:L48)+O48</f>
        <v>10192.342902376826</v>
      </c>
      <c r="R48">
        <f>SUM($M$2:M48)+P48</f>
        <v>34126.552841781435</v>
      </c>
      <c r="S48">
        <f>SUM($N$2:N48)</f>
        <v>21001.695805847339</v>
      </c>
      <c r="T48">
        <f t="shared" si="4"/>
        <v>-10809.352903470513</v>
      </c>
    </row>
    <row r="49" spans="1:20" x14ac:dyDescent="0.25">
      <c r="A49">
        <v>48</v>
      </c>
      <c r="B49">
        <v>72</v>
      </c>
      <c r="C49">
        <v>60000</v>
      </c>
      <c r="D49">
        <v>185992</v>
      </c>
      <c r="E49">
        <v>0</v>
      </c>
      <c r="F49">
        <v>29767</v>
      </c>
      <c r="G49">
        <v>131825</v>
      </c>
      <c r="H49">
        <v>2.2772504975547309E-2</v>
      </c>
      <c r="I49">
        <v>0.80457046298065804</v>
      </c>
      <c r="J49">
        <f t="shared" si="5"/>
        <v>0.24199880094894949</v>
      </c>
      <c r="K49">
        <f t="shared" si="6"/>
        <v>0.24925876497741797</v>
      </c>
      <c r="L49">
        <f t="shared" si="7"/>
        <v>266.03535418590019</v>
      </c>
      <c r="M49">
        <f t="shared" si="1"/>
        <v>824.67412659573245</v>
      </c>
      <c r="N49">
        <f t="shared" si="8"/>
        <v>0</v>
      </c>
      <c r="O49">
        <f t="shared" si="2"/>
        <v>5663.8017611279956</v>
      </c>
      <c r="P49">
        <f t="shared" si="3"/>
        <v>25082.496293234053</v>
      </c>
      <c r="Q49">
        <f>SUM($L$2:L49)+O49</f>
        <v>10216.494343941482</v>
      </c>
      <c r="R49">
        <f>SUM($M$2:M49)+P49</f>
        <v>34828.269641008825</v>
      </c>
      <c r="S49">
        <f>SUM($N$2:N49)</f>
        <v>21001.695805847339</v>
      </c>
      <c r="T49">
        <f t="shared" si="4"/>
        <v>-10785.201461905857</v>
      </c>
    </row>
    <row r="50" spans="1:20" x14ac:dyDescent="0.25">
      <c r="A50">
        <v>49</v>
      </c>
      <c r="B50">
        <v>73</v>
      </c>
      <c r="C50">
        <v>60000</v>
      </c>
      <c r="D50">
        <v>192759</v>
      </c>
      <c r="E50">
        <v>0</v>
      </c>
      <c r="F50">
        <v>30087</v>
      </c>
      <c r="G50">
        <v>137966</v>
      </c>
      <c r="H50">
        <v>2.5151721385295561E-2</v>
      </c>
      <c r="I50">
        <v>0.78624837810925252</v>
      </c>
      <c r="J50">
        <f t="shared" si="5"/>
        <v>0.2349502921834461</v>
      </c>
      <c r="K50">
        <f t="shared" si="6"/>
        <v>0.24199880094894949</v>
      </c>
      <c r="L50">
        <f t="shared" si="7"/>
        <v>278.77557224039595</v>
      </c>
      <c r="M50">
        <f t="shared" si="1"/>
        <v>895.60834215810792</v>
      </c>
      <c r="N50">
        <f t="shared" si="8"/>
        <v>0</v>
      </c>
      <c r="O50">
        <f t="shared" si="2"/>
        <v>5418.1580221623399</v>
      </c>
      <c r="P50">
        <f t="shared" si="3"/>
        <v>24845.334851784803</v>
      </c>
      <c r="Q50">
        <f>SUM($L$2:L50)+O50</f>
        <v>10249.626177216222</v>
      </c>
      <c r="R50">
        <f>SUM($M$2:M50)+P50</f>
        <v>35486.716541717688</v>
      </c>
      <c r="S50">
        <f>SUM($N$2:N50)</f>
        <v>21001.695805847339</v>
      </c>
      <c r="T50">
        <f t="shared" si="4"/>
        <v>-10752.069628631118</v>
      </c>
    </row>
    <row r="51" spans="1:20" x14ac:dyDescent="0.25">
      <c r="A51">
        <v>50</v>
      </c>
      <c r="B51">
        <v>74</v>
      </c>
      <c r="C51">
        <v>60000</v>
      </c>
      <c r="D51">
        <v>199527</v>
      </c>
      <c r="E51">
        <v>0</v>
      </c>
      <c r="F51">
        <v>30406</v>
      </c>
      <c r="G51">
        <v>144107</v>
      </c>
      <c r="H51">
        <v>2.7744132487352944E-2</v>
      </c>
      <c r="I51">
        <v>0.76647287796340813</v>
      </c>
      <c r="J51">
        <f t="shared" si="5"/>
        <v>0.22810707978975348</v>
      </c>
      <c r="K51">
        <f t="shared" si="6"/>
        <v>0.2349502921834461</v>
      </c>
      <c r="L51">
        <f t="shared" si="7"/>
        <v>291.04353492209702</v>
      </c>
      <c r="M51">
        <f t="shared" si="1"/>
        <v>967.85072320668758</v>
      </c>
      <c r="N51">
        <f t="shared" si="8"/>
        <v>0</v>
      </c>
      <c r="O51">
        <f t="shared" si="2"/>
        <v>5168.6297191727726</v>
      </c>
      <c r="P51">
        <f t="shared" si="3"/>
        <v>24496.340292732708</v>
      </c>
      <c r="Q51">
        <f>SUM($L$2:L51)+O51</f>
        <v>10291.141409148753</v>
      </c>
      <c r="R51">
        <f>SUM($M$2:M51)+P51</f>
        <v>36105.572705872277</v>
      </c>
      <c r="S51">
        <f>SUM($N$2:N51)</f>
        <v>21001.695805847339</v>
      </c>
      <c r="T51">
        <f t="shared" si="4"/>
        <v>-10710.554396698586</v>
      </c>
    </row>
    <row r="52" spans="1:20" x14ac:dyDescent="0.25">
      <c r="A52">
        <v>51</v>
      </c>
      <c r="B52">
        <v>75</v>
      </c>
      <c r="C52">
        <v>60000</v>
      </c>
      <c r="D52">
        <v>206294</v>
      </c>
      <c r="E52">
        <v>0</v>
      </c>
      <c r="F52">
        <v>30726</v>
      </c>
      <c r="G52">
        <v>150248</v>
      </c>
      <c r="H52">
        <v>3.0621155821420908E-2</v>
      </c>
      <c r="I52">
        <v>0.74520775288922858</v>
      </c>
      <c r="J52">
        <f t="shared" si="5"/>
        <v>0.22146318426189657</v>
      </c>
      <c r="K52">
        <f t="shared" si="6"/>
        <v>0.22810707978975348</v>
      </c>
      <c r="L52">
        <f t="shared" si="7"/>
        <v>303.21573478538619</v>
      </c>
      <c r="M52">
        <f t="shared" si="1"/>
        <v>1042.5264465302746</v>
      </c>
      <c r="N52">
        <f t="shared" si="8"/>
        <v>0</v>
      </c>
      <c r="O52">
        <f t="shared" si="2"/>
        <v>4915.6218744146672</v>
      </c>
      <c r="P52">
        <f t="shared" si="3"/>
        <v>24037.048603367013</v>
      </c>
      <c r="Q52">
        <f>SUM($L$2:L52)+O52</f>
        <v>10341.349299176032</v>
      </c>
      <c r="R52">
        <f>SUM($M$2:M52)+P52</f>
        <v>36688.807463036857</v>
      </c>
      <c r="S52">
        <f>SUM($N$2:N52)</f>
        <v>21001.695805847339</v>
      </c>
      <c r="T52">
        <f t="shared" si="4"/>
        <v>-10660.346506671307</v>
      </c>
    </row>
    <row r="53" spans="1:20" x14ac:dyDescent="0.25">
      <c r="A53">
        <v>52</v>
      </c>
      <c r="B53">
        <v>76</v>
      </c>
      <c r="C53">
        <v>60000</v>
      </c>
      <c r="D53">
        <v>214231</v>
      </c>
      <c r="E53">
        <v>0</v>
      </c>
      <c r="F53">
        <v>31046</v>
      </c>
      <c r="G53">
        <v>158466</v>
      </c>
      <c r="H53">
        <v>3.3860758612431534E-2</v>
      </c>
      <c r="I53">
        <v>0.7223886301686766</v>
      </c>
      <c r="J53">
        <f t="shared" si="5"/>
        <v>0.2150128002542685</v>
      </c>
      <c r="K53">
        <f t="shared" si="6"/>
        <v>0.22146318426189657</v>
      </c>
      <c r="L53">
        <f t="shared" si="7"/>
        <v>315.56087482826905</v>
      </c>
      <c r="M53">
        <f t="shared" si="1"/>
        <v>1126.7153629222482</v>
      </c>
      <c r="N53">
        <f t="shared" si="8"/>
        <v>0</v>
      </c>
      <c r="O53">
        <f t="shared" si="2"/>
        <v>4658.8700031480503</v>
      </c>
      <c r="P53">
        <f t="shared" si="3"/>
        <v>23779.955353954101</v>
      </c>
      <c r="Q53">
        <f>SUM($L$2:L53)+O53</f>
        <v>10400.158302737686</v>
      </c>
      <c r="R53">
        <f>SUM($M$2:M53)+P53</f>
        <v>37558.429576546194</v>
      </c>
      <c r="S53">
        <f>SUM($N$2:N53)</f>
        <v>21001.695805847339</v>
      </c>
      <c r="T53">
        <f t="shared" si="4"/>
        <v>-10601.537503109654</v>
      </c>
    </row>
    <row r="54" spans="1:20" x14ac:dyDescent="0.25">
      <c r="A54">
        <v>53</v>
      </c>
      <c r="B54">
        <v>77</v>
      </c>
      <c r="C54">
        <v>60000</v>
      </c>
      <c r="D54">
        <v>222167</v>
      </c>
      <c r="E54">
        <v>0</v>
      </c>
      <c r="F54">
        <v>31366</v>
      </c>
      <c r="G54">
        <v>166683</v>
      </c>
      <c r="H54">
        <v>3.7536371195886362E-2</v>
      </c>
      <c r="I54">
        <v>0.69792800313817005</v>
      </c>
      <c r="J54">
        <f t="shared" si="5"/>
        <v>0.20875029150899854</v>
      </c>
      <c r="K54">
        <f t="shared" si="6"/>
        <v>0.2150128002542685</v>
      </c>
      <c r="L54">
        <f t="shared" si="7"/>
        <v>328.12645774896913</v>
      </c>
      <c r="M54">
        <f t="shared" si="1"/>
        <v>1214.9811789785872</v>
      </c>
      <c r="N54">
        <f t="shared" si="8"/>
        <v>0</v>
      </c>
      <c r="O54">
        <f t="shared" si="2"/>
        <v>4398.2628414897081</v>
      </c>
      <c r="P54">
        <f t="shared" si="3"/>
        <v>23372.94029229194</v>
      </c>
      <c r="Q54">
        <f>SUM($L$2:L54)+O54</f>
        <v>10467.677598828312</v>
      </c>
      <c r="R54">
        <f>SUM($M$2:M54)+P54</f>
        <v>38366.395693862622</v>
      </c>
      <c r="S54">
        <f>SUM($N$2:N54)</f>
        <v>21001.695805847339</v>
      </c>
      <c r="T54">
        <f t="shared" si="4"/>
        <v>-10534.018207019028</v>
      </c>
    </row>
    <row r="55" spans="1:20" x14ac:dyDescent="0.25">
      <c r="A55">
        <v>54</v>
      </c>
      <c r="B55">
        <v>78</v>
      </c>
      <c r="C55">
        <v>60000</v>
      </c>
      <c r="D55">
        <v>230104</v>
      </c>
      <c r="E55">
        <v>0</v>
      </c>
      <c r="F55">
        <v>31685</v>
      </c>
      <c r="G55">
        <v>174901</v>
      </c>
      <c r="H55">
        <v>4.1706034819665158E-2</v>
      </c>
      <c r="I55">
        <v>0.67173031854437193</v>
      </c>
      <c r="J55">
        <f t="shared" si="5"/>
        <v>0.20267018593106653</v>
      </c>
      <c r="K55">
        <f t="shared" si="6"/>
        <v>0.20875029150899854</v>
      </c>
      <c r="L55">
        <f t="shared" si="7"/>
        <v>340.67084551983965</v>
      </c>
      <c r="M55">
        <f t="shared" si="1"/>
        <v>1306.4954039582863</v>
      </c>
      <c r="N55">
        <f t="shared" si="8"/>
        <v>0</v>
      </c>
      <c r="O55">
        <f t="shared" si="2"/>
        <v>4133.6840698911146</v>
      </c>
      <c r="P55">
        <f t="shared" si="3"/>
        <v>22817.909973426729</v>
      </c>
      <c r="Q55">
        <f>SUM($L$2:L55)+O55</f>
        <v>10543.769672749559</v>
      </c>
      <c r="R55">
        <f>SUM($M$2:M55)+P55</f>
        <v>39117.860778955699</v>
      </c>
      <c r="S55">
        <f>SUM($N$2:N55)</f>
        <v>21001.695805847339</v>
      </c>
      <c r="T55">
        <f t="shared" si="4"/>
        <v>-10457.926133097781</v>
      </c>
    </row>
    <row r="56" spans="1:20" x14ac:dyDescent="0.25">
      <c r="A56">
        <v>55</v>
      </c>
      <c r="B56">
        <v>79</v>
      </c>
      <c r="C56">
        <v>60000</v>
      </c>
      <c r="D56">
        <v>238040</v>
      </c>
      <c r="E56">
        <v>0</v>
      </c>
      <c r="F56">
        <v>32005</v>
      </c>
      <c r="G56">
        <v>183118</v>
      </c>
      <c r="H56">
        <v>4.64196203678819E-2</v>
      </c>
      <c r="I56">
        <v>0.64371511048973562</v>
      </c>
      <c r="J56">
        <f t="shared" si="5"/>
        <v>0.19676717080686071</v>
      </c>
      <c r="K56">
        <f t="shared" si="6"/>
        <v>0.20267018593106653</v>
      </c>
      <c r="L56">
        <f t="shared" si="7"/>
        <v>352.77612035667829</v>
      </c>
      <c r="M56">
        <f t="shared" si="1"/>
        <v>1399.5804614950619</v>
      </c>
      <c r="N56">
        <f t="shared" si="8"/>
        <v>0</v>
      </c>
      <c r="O56">
        <f t="shared" si="2"/>
        <v>3865.6406828993372</v>
      </c>
      <c r="P56">
        <f t="shared" si="3"/>
        <v>22117.431356699293</v>
      </c>
      <c r="Q56">
        <f>SUM($L$2:L56)+O56</f>
        <v>10628.50240611446</v>
      </c>
      <c r="R56">
        <f>SUM($M$2:M56)+P56</f>
        <v>39816.962623723324</v>
      </c>
      <c r="S56">
        <f>SUM($N$2:N56)</f>
        <v>21001.695805847339</v>
      </c>
      <c r="T56">
        <f t="shared" si="4"/>
        <v>-10373.19339973288</v>
      </c>
    </row>
    <row r="57" spans="1:20" x14ac:dyDescent="0.25">
      <c r="A57">
        <v>56</v>
      </c>
      <c r="B57">
        <v>80</v>
      </c>
      <c r="C57">
        <v>60000</v>
      </c>
      <c r="D57">
        <v>245977</v>
      </c>
      <c r="E57">
        <v>0</v>
      </c>
      <c r="F57">
        <v>32325</v>
      </c>
      <c r="G57">
        <v>191336</v>
      </c>
      <c r="H57">
        <v>5.1705774398636689E-2</v>
      </c>
      <c r="I57">
        <v>0.61383409943573286</v>
      </c>
      <c r="J57">
        <f t="shared" si="5"/>
        <v>0.19103608816200068</v>
      </c>
      <c r="K57">
        <f t="shared" si="6"/>
        <v>0.19676717080686071</v>
      </c>
      <c r="L57">
        <f t="shared" si="7"/>
        <v>363.79499875993588</v>
      </c>
      <c r="M57">
        <f t="shared" si="1"/>
        <v>1491.4200401662126</v>
      </c>
      <c r="N57">
        <f t="shared" si="8"/>
        <v>0</v>
      </c>
      <c r="O57">
        <f t="shared" si="2"/>
        <v>3594.5792799601982</v>
      </c>
      <c r="P57">
        <f t="shared" si="3"/>
        <v>21276.795703339965</v>
      </c>
      <c r="Q57">
        <f>SUM($L$2:L57)+O57</f>
        <v>10721.236001935256</v>
      </c>
      <c r="R57">
        <f>SUM($M$2:M57)+P57</f>
        <v>40467.747010530205</v>
      </c>
      <c r="S57">
        <f>SUM($N$2:N57)</f>
        <v>21001.695805847339</v>
      </c>
      <c r="T57">
        <f t="shared" si="4"/>
        <v>-10280.459803912083</v>
      </c>
    </row>
    <row r="58" spans="1:20" x14ac:dyDescent="0.25">
      <c r="A58">
        <v>57</v>
      </c>
      <c r="B58">
        <v>81</v>
      </c>
      <c r="C58">
        <v>60000</v>
      </c>
      <c r="D58">
        <v>254598</v>
      </c>
      <c r="E58">
        <v>0</v>
      </c>
      <c r="F58">
        <v>37860</v>
      </c>
      <c r="G58">
        <v>210886</v>
      </c>
      <c r="H58">
        <v>5.7574841245842154E-2</v>
      </c>
      <c r="I58">
        <v>0.5820953319721186</v>
      </c>
      <c r="J58">
        <f t="shared" si="5"/>
        <v>0.18547193025436959</v>
      </c>
      <c r="K58">
        <f t="shared" si="6"/>
        <v>0.19103608816200068</v>
      </c>
      <c r="L58">
        <f t="shared" si="7"/>
        <v>372.95489178798817</v>
      </c>
      <c r="M58">
        <f t="shared" si="1"/>
        <v>1582.5594923239701</v>
      </c>
      <c r="N58">
        <f t="shared" si="8"/>
        <v>0</v>
      </c>
      <c r="O58">
        <f t="shared" si="2"/>
        <v>3852.1198378991917</v>
      </c>
      <c r="P58">
        <f t="shared" si="3"/>
        <v>21456.897626392209</v>
      </c>
      <c r="Q58">
        <f>SUM($L$2:L58)+O58</f>
        <v>11351.731451662237</v>
      </c>
      <c r="R58">
        <f>SUM($M$2:M58)+P58</f>
        <v>42230.408425906426</v>
      </c>
      <c r="S58">
        <f>SUM($N$2:N58)</f>
        <v>21001.695805847339</v>
      </c>
      <c r="T58">
        <f t="shared" si="4"/>
        <v>-9649.9643541851019</v>
      </c>
    </row>
    <row r="59" spans="1:20" x14ac:dyDescent="0.25">
      <c r="A59">
        <v>58</v>
      </c>
      <c r="B59">
        <v>82</v>
      </c>
      <c r="C59">
        <v>60000</v>
      </c>
      <c r="D59">
        <v>263220</v>
      </c>
      <c r="E59">
        <v>0</v>
      </c>
      <c r="F59">
        <v>43395</v>
      </c>
      <c r="G59">
        <v>230435</v>
      </c>
      <c r="H59">
        <v>6.4029482678009925E-2</v>
      </c>
      <c r="I59">
        <v>0.54858128564387809</v>
      </c>
      <c r="J59">
        <f t="shared" si="5"/>
        <v>0.18006983519841707</v>
      </c>
      <c r="K59">
        <f t="shared" si="6"/>
        <v>0.18547193025436959</v>
      </c>
      <c r="L59">
        <f t="shared" si="7"/>
        <v>379.50123926328172</v>
      </c>
      <c r="M59">
        <f t="shared" si="1"/>
        <v>1664.871936648017</v>
      </c>
      <c r="N59">
        <f t="shared" si="8"/>
        <v>0</v>
      </c>
      <c r="O59">
        <f t="shared" si="2"/>
        <v>4012.2114837235108</v>
      </c>
      <c r="P59">
        <f t="shared" si="3"/>
        <v>21305.541035875729</v>
      </c>
      <c r="Q59">
        <f>SUM($L$2:L59)+O59</f>
        <v>11891.324336749838</v>
      </c>
      <c r="R59">
        <f>SUM($M$2:M59)+P59</f>
        <v>43743.923772037961</v>
      </c>
      <c r="S59">
        <f>SUM($N$2:N59)</f>
        <v>21001.695805847339</v>
      </c>
      <c r="T59">
        <f t="shared" si="4"/>
        <v>-9110.3714690975012</v>
      </c>
    </row>
    <row r="60" spans="1:20" x14ac:dyDescent="0.25">
      <c r="A60">
        <v>59</v>
      </c>
      <c r="B60">
        <v>83</v>
      </c>
      <c r="C60">
        <v>60000</v>
      </c>
      <c r="D60">
        <v>271841</v>
      </c>
      <c r="E60">
        <v>0</v>
      </c>
      <c r="F60">
        <v>48930</v>
      </c>
      <c r="G60">
        <v>249985</v>
      </c>
      <c r="H60">
        <v>7.1060152835647802E-2</v>
      </c>
      <c r="I60">
        <v>0.51345590971726296</v>
      </c>
      <c r="J60">
        <f t="shared" si="5"/>
        <v>0.17482508271690977</v>
      </c>
      <c r="K60">
        <f t="shared" si="6"/>
        <v>0.18006983519841707</v>
      </c>
      <c r="L60">
        <f t="shared" si="7"/>
        <v>382.72275729811008</v>
      </c>
      <c r="M60">
        <f t="shared" si="1"/>
        <v>1733.9956177779259</v>
      </c>
      <c r="N60">
        <f t="shared" si="8"/>
        <v>0</v>
      </c>
      <c r="O60">
        <f t="shared" si="2"/>
        <v>4080.0896658937709</v>
      </c>
      <c r="P60">
        <f t="shared" si="3"/>
        <v>20845.314022653878</v>
      </c>
      <c r="Q60">
        <f>SUM($L$2:L60)+O60</f>
        <v>12341.925276218208</v>
      </c>
      <c r="R60">
        <f>SUM($M$2:M60)+P60</f>
        <v>45017.69237659403</v>
      </c>
      <c r="S60">
        <f>SUM($N$2:N60)</f>
        <v>21001.695805847339</v>
      </c>
      <c r="T60">
        <f t="shared" si="4"/>
        <v>-8659.7705296291315</v>
      </c>
    </row>
    <row r="61" spans="1:20" x14ac:dyDescent="0.25">
      <c r="A61">
        <v>60</v>
      </c>
      <c r="B61">
        <v>84</v>
      </c>
      <c r="C61">
        <v>60000</v>
      </c>
      <c r="D61">
        <v>280463</v>
      </c>
      <c r="E61">
        <v>0</v>
      </c>
      <c r="F61">
        <v>54465</v>
      </c>
      <c r="G61">
        <v>269534</v>
      </c>
      <c r="H61">
        <v>7.8653249207098999E-2</v>
      </c>
      <c r="I61">
        <v>0.47696965429838767</v>
      </c>
      <c r="J61">
        <f t="shared" si="5"/>
        <v>0.16973309001641726</v>
      </c>
      <c r="K61">
        <f t="shared" si="6"/>
        <v>0.17482508271690977</v>
      </c>
      <c r="L61">
        <f t="shared" si="7"/>
        <v>382.05438235980313</v>
      </c>
      <c r="M61">
        <f t="shared" si="1"/>
        <v>1785.8686373296246</v>
      </c>
      <c r="N61">
        <f t="shared" si="8"/>
        <v>0</v>
      </c>
      <c r="O61">
        <f t="shared" si="2"/>
        <v>4062.5421838614611</v>
      </c>
      <c r="P61">
        <f t="shared" si="3"/>
        <v>20104.530340308731</v>
      </c>
      <c r="Q61">
        <f>SUM($L$2:L61)+O61</f>
        <v>12706.432176545703</v>
      </c>
      <c r="R61">
        <f>SUM($M$2:M61)+P61</f>
        <v>46062.777331578516</v>
      </c>
      <c r="S61">
        <f>SUM($N$2:N61)</f>
        <v>21001.695805847339</v>
      </c>
      <c r="T61">
        <f t="shared" si="4"/>
        <v>-8295.2636293016367</v>
      </c>
    </row>
    <row r="62" spans="1:20" x14ac:dyDescent="0.25">
      <c r="A62">
        <v>61</v>
      </c>
      <c r="B62">
        <v>85</v>
      </c>
      <c r="C62">
        <v>60000</v>
      </c>
      <c r="D62">
        <v>289084</v>
      </c>
      <c r="E62">
        <v>0</v>
      </c>
      <c r="F62">
        <v>60000</v>
      </c>
      <c r="G62">
        <v>289084</v>
      </c>
      <c r="H62">
        <v>8.6793618823098578E-2</v>
      </c>
      <c r="I62">
        <v>0.43945444121463273</v>
      </c>
      <c r="J62">
        <f t="shared" si="5"/>
        <v>0.16478940778292939</v>
      </c>
      <c r="K62">
        <f t="shared" si="6"/>
        <v>0.16973309001641726</v>
      </c>
      <c r="L62">
        <f t="shared" si="7"/>
        <v>377.12228598805876</v>
      </c>
      <c r="M62">
        <f t="shared" si="1"/>
        <v>1817.0003153761998</v>
      </c>
      <c r="N62">
        <f t="shared" si="8"/>
        <v>0</v>
      </c>
      <c r="O62">
        <f t="shared" si="2"/>
        <v>3967.9239409321899</v>
      </c>
      <c r="P62">
        <f t="shared" si="3"/>
        <v>19117.722075674017</v>
      </c>
      <c r="Q62">
        <f>SUM($L$2:L62)+O62</f>
        <v>12988.936219604489</v>
      </c>
      <c r="R62">
        <f>SUM($M$2:M62)+P62</f>
        <v>46892.96938232</v>
      </c>
      <c r="S62">
        <f>SUM($N$2:N62)</f>
        <v>21001.695805847339</v>
      </c>
      <c r="T62">
        <f t="shared" si="4"/>
        <v>-8012.7595862428498</v>
      </c>
    </row>
    <row r="63" spans="1:20" x14ac:dyDescent="0.25">
      <c r="A63">
        <v>62</v>
      </c>
      <c r="B63">
        <v>86</v>
      </c>
      <c r="C63">
        <v>60000</v>
      </c>
      <c r="D63">
        <v>302700</v>
      </c>
      <c r="E63">
        <v>0</v>
      </c>
      <c r="F63">
        <v>60000</v>
      </c>
      <c r="G63">
        <v>302700</v>
      </c>
      <c r="H63">
        <v>9.5659278827235836E-2</v>
      </c>
      <c r="I63">
        <v>0.40131259995373209</v>
      </c>
      <c r="J63">
        <f t="shared" si="5"/>
        <v>0.15998971629410619</v>
      </c>
      <c r="K63">
        <f t="shared" si="6"/>
        <v>0.16478940778292939</v>
      </c>
      <c r="L63">
        <f t="shared" si="7"/>
        <v>368.51334236009399</v>
      </c>
      <c r="M63">
        <f t="shared" si="1"/>
        <v>1859.1498122066741</v>
      </c>
      <c r="N63">
        <f t="shared" si="8"/>
        <v>0</v>
      </c>
      <c r="O63">
        <f t="shared" si="2"/>
        <v>3483.8399983507697</v>
      </c>
      <c r="P63">
        <f t="shared" si="3"/>
        <v>17575.972791679633</v>
      </c>
      <c r="Q63">
        <f>SUM($L$2:L63)+O63</f>
        <v>12873.365619383163</v>
      </c>
      <c r="R63">
        <f>SUM($M$2:M63)+P63</f>
        <v>47210.369910532288</v>
      </c>
      <c r="S63">
        <f>SUM($N$2:N63)</f>
        <v>21001.695805847339</v>
      </c>
      <c r="T63">
        <f t="shared" si="4"/>
        <v>-8128.3301864641762</v>
      </c>
    </row>
    <row r="64" spans="1:20" x14ac:dyDescent="0.25">
      <c r="A64">
        <v>63</v>
      </c>
      <c r="B64">
        <v>87</v>
      </c>
      <c r="C64">
        <v>60000</v>
      </c>
      <c r="D64">
        <v>316315</v>
      </c>
      <c r="E64">
        <v>0</v>
      </c>
      <c r="F64">
        <v>60000</v>
      </c>
      <c r="G64">
        <v>316315</v>
      </c>
      <c r="H64">
        <v>0.10529291451186458</v>
      </c>
      <c r="I64">
        <v>0.36292332605787508</v>
      </c>
      <c r="J64">
        <f t="shared" si="5"/>
        <v>0.15532982164476328</v>
      </c>
      <c r="K64">
        <f t="shared" si="6"/>
        <v>0.15998971629410619</v>
      </c>
      <c r="L64">
        <f t="shared" si="7"/>
        <v>356.13948264015727</v>
      </c>
      <c r="M64">
        <f t="shared" si="1"/>
        <v>1877.5376741886894</v>
      </c>
      <c r="N64">
        <f t="shared" si="8"/>
        <v>0</v>
      </c>
      <c r="O64">
        <f t="shared" si="2"/>
        <v>3026.2294477974833</v>
      </c>
      <c r="P64">
        <f t="shared" si="3"/>
        <v>15954.029463001016</v>
      </c>
      <c r="Q64">
        <f>SUM($L$2:L64)+O64</f>
        <v>12771.894551470034</v>
      </c>
      <c r="R64">
        <f>SUM($M$2:M64)+P64</f>
        <v>47465.96425604236</v>
      </c>
      <c r="S64">
        <f>SUM($N$2:N64)</f>
        <v>21001.695805847339</v>
      </c>
      <c r="T64">
        <f t="shared" si="4"/>
        <v>-8229.8012543773057</v>
      </c>
    </row>
    <row r="65" spans="1:20" x14ac:dyDescent="0.25">
      <c r="A65">
        <v>64</v>
      </c>
      <c r="B65">
        <v>88</v>
      </c>
      <c r="C65">
        <v>60000</v>
      </c>
      <c r="D65">
        <v>329931</v>
      </c>
      <c r="E65">
        <v>0</v>
      </c>
      <c r="F65">
        <v>60000</v>
      </c>
      <c r="G65">
        <v>329931</v>
      </c>
      <c r="H65">
        <v>0.11574512901527119</v>
      </c>
      <c r="I65">
        <v>0.32471007131290169</v>
      </c>
      <c r="J65">
        <f t="shared" si="5"/>
        <v>0.15080565208229443</v>
      </c>
      <c r="K65">
        <f t="shared" si="6"/>
        <v>0.15532982164476328</v>
      </c>
      <c r="L65">
        <f t="shared" si="7"/>
        <v>340.06924064575975</v>
      </c>
      <c r="M65">
        <f t="shared" si="1"/>
        <v>1869.9897439249362</v>
      </c>
      <c r="N65">
        <f t="shared" si="8"/>
        <v>0</v>
      </c>
      <c r="O65">
        <f t="shared" si="2"/>
        <v>2598.0176018760685</v>
      </c>
      <c r="P65">
        <f t="shared" si="3"/>
        <v>14286.109090076219</v>
      </c>
      <c r="Q65">
        <f>SUM($L$2:L65)+O65</f>
        <v>12683.751946194379</v>
      </c>
      <c r="R65">
        <f>SUM($M$2:M65)+P65</f>
        <v>47668.033627042503</v>
      </c>
      <c r="S65">
        <f>SUM($N$2:N65)</f>
        <v>21001.695805847339</v>
      </c>
      <c r="T65">
        <f t="shared" si="4"/>
        <v>-8317.9438596529599</v>
      </c>
    </row>
    <row r="66" spans="1:20" x14ac:dyDescent="0.25">
      <c r="A66">
        <v>65</v>
      </c>
      <c r="B66">
        <v>89</v>
      </c>
      <c r="C66">
        <v>60000</v>
      </c>
      <c r="D66">
        <v>343546</v>
      </c>
      <c r="E66">
        <v>0</v>
      </c>
      <c r="F66">
        <v>60000</v>
      </c>
      <c r="G66">
        <v>343546</v>
      </c>
      <c r="H66">
        <v>0.12705980438864445</v>
      </c>
      <c r="I66">
        <v>0.287126462216232</v>
      </c>
      <c r="J66">
        <f t="shared" si="5"/>
        <v>0.14641325444882955</v>
      </c>
      <c r="K66">
        <f t="shared" si="6"/>
        <v>0.15080565208229443</v>
      </c>
      <c r="L66">
        <f t="shared" si="7"/>
        <v>320.48894008993045</v>
      </c>
      <c r="M66">
        <f t="shared" si="1"/>
        <v>1835.0448902022542</v>
      </c>
      <c r="N66">
        <f t="shared" si="8"/>
        <v>0</v>
      </c>
      <c r="O66">
        <f t="shared" si="2"/>
        <v>2201.8582461975143</v>
      </c>
      <c r="P66">
        <f t="shared" si="3"/>
        <v>12607.326550802854</v>
      </c>
      <c r="Q66">
        <f>SUM($L$2:L66)+O66</f>
        <v>12608.081530605756</v>
      </c>
      <c r="R66">
        <f>SUM($M$2:M66)+P66</f>
        <v>47824.295977971393</v>
      </c>
      <c r="S66">
        <f>SUM($N$2:N66)</f>
        <v>21001.695805847339</v>
      </c>
      <c r="T66">
        <f t="shared" si="4"/>
        <v>-8393.6142752415835</v>
      </c>
    </row>
    <row r="67" spans="1:20" x14ac:dyDescent="0.25">
      <c r="A67">
        <v>66</v>
      </c>
      <c r="B67">
        <v>90</v>
      </c>
      <c r="C67">
        <v>60000</v>
      </c>
      <c r="D67">
        <v>357162</v>
      </c>
      <c r="E67">
        <v>0</v>
      </c>
      <c r="F67">
        <v>60000</v>
      </c>
      <c r="G67">
        <v>357162</v>
      </c>
      <c r="H67">
        <v>0.13928962691568383</v>
      </c>
      <c r="I67">
        <v>0.25064423009223402</v>
      </c>
      <c r="J67">
        <f t="shared" si="5"/>
        <v>0.14214879072701897</v>
      </c>
      <c r="K67">
        <f t="shared" si="6"/>
        <v>0.14641325444882955</v>
      </c>
      <c r="L67">
        <f t="shared" ref="L67:L76" si="9">C67*H67*I67*J67</f>
        <v>297.76312003308124</v>
      </c>
      <c r="M67">
        <f t="shared" ref="M67:M77" si="10">D67*H67*I67*J67</f>
        <v>1772.4945246209229</v>
      </c>
      <c r="N67">
        <f t="shared" ref="N67:N78" si="11">E67*I67*K67</f>
        <v>0</v>
      </c>
      <c r="O67">
        <f t="shared" ref="O67:O77" si="12">F67*I68*J67</f>
        <v>1839.9633325858649</v>
      </c>
      <c r="P67">
        <f t="shared" ref="P67:P78" si="13">G67*I68*J67</f>
        <v>10952.749729883877</v>
      </c>
      <c r="Q67">
        <f>SUM($L$2:L67)+O67</f>
        <v>12543.949737027187</v>
      </c>
      <c r="R67">
        <f>SUM($M$2:M67)+P67</f>
        <v>47942.21368167334</v>
      </c>
      <c r="S67">
        <f>SUM($N$2:N67)</f>
        <v>21001.695805847339</v>
      </c>
      <c r="T67">
        <f t="shared" ref="T67:T78" si="14">Q67-S67</f>
        <v>-8457.7460688201518</v>
      </c>
    </row>
    <row r="68" spans="1:20" x14ac:dyDescent="0.25">
      <c r="A68">
        <v>67</v>
      </c>
      <c r="B68">
        <v>91</v>
      </c>
      <c r="C68">
        <v>60000</v>
      </c>
      <c r="D68">
        <v>391014</v>
      </c>
      <c r="E68">
        <v>0</v>
      </c>
      <c r="F68">
        <v>60000</v>
      </c>
      <c r="G68">
        <v>391014</v>
      </c>
      <c r="H68">
        <v>0.15247828499228377</v>
      </c>
      <c r="I68">
        <v>0.21573208879411795</v>
      </c>
      <c r="J68">
        <f t="shared" ref="J68:J76" si="15">J67/1.03</f>
        <v>0.13800853468642618</v>
      </c>
      <c r="K68">
        <f t="shared" si="6"/>
        <v>0.14214879072701897</v>
      </c>
      <c r="L68">
        <f t="shared" si="9"/>
        <v>272.38296446735893</v>
      </c>
      <c r="M68">
        <f t="shared" si="10"/>
        <v>1775.0925411373316</v>
      </c>
      <c r="N68">
        <f t="shared" si="11"/>
        <v>0</v>
      </c>
      <c r="O68">
        <f t="shared" si="12"/>
        <v>1513.9892030917331</v>
      </c>
      <c r="P68">
        <f t="shared" si="13"/>
        <v>9866.5162376285134</v>
      </c>
      <c r="Q68">
        <f>SUM($L$2:L68)+O68</f>
        <v>12490.358572000414</v>
      </c>
      <c r="R68">
        <f>SUM($M$2:M68)+P68</f>
        <v>48631.072730555308</v>
      </c>
      <c r="S68">
        <f>SUM($N$2:N68)</f>
        <v>21001.695805847339</v>
      </c>
      <c r="T68">
        <f t="shared" si="14"/>
        <v>-8511.3372338469253</v>
      </c>
    </row>
    <row r="69" spans="1:20" x14ac:dyDescent="0.25">
      <c r="A69">
        <v>68</v>
      </c>
      <c r="B69">
        <v>92</v>
      </c>
      <c r="C69">
        <v>60000</v>
      </c>
      <c r="D69">
        <v>424867</v>
      </c>
      <c r="E69">
        <v>0</v>
      </c>
      <c r="F69">
        <v>60000</v>
      </c>
      <c r="G69">
        <v>424867</v>
      </c>
      <c r="H69">
        <v>0.16667491844492488</v>
      </c>
      <c r="I69">
        <v>0.18283762987698776</v>
      </c>
      <c r="J69">
        <f t="shared" si="15"/>
        <v>0.13398886862759823</v>
      </c>
      <c r="K69">
        <f t="shared" ref="K69:K77" si="16">K68/1.03</f>
        <v>0.13800853468642618</v>
      </c>
      <c r="L69">
        <f t="shared" si="9"/>
        <v>244.99420092408874</v>
      </c>
      <c r="M69">
        <f t="shared" si="10"/>
        <v>1734.8325194002471</v>
      </c>
      <c r="N69">
        <f t="shared" si="11"/>
        <v>0</v>
      </c>
      <c r="O69">
        <f t="shared" si="12"/>
        <v>1224.8982292620599</v>
      </c>
      <c r="P69">
        <f t="shared" si="13"/>
        <v>8673.6472661980606</v>
      </c>
      <c r="Q69">
        <f>SUM($L$2:L69)+O69</f>
        <v>12446.261799094831</v>
      </c>
      <c r="R69">
        <f>SUM($M$2:M69)+P69</f>
        <v>49173.036278525098</v>
      </c>
      <c r="S69">
        <f>SUM($N$2:N69)</f>
        <v>21001.695805847339</v>
      </c>
      <c r="T69">
        <f t="shared" si="14"/>
        <v>-8555.4340067525081</v>
      </c>
    </row>
    <row r="70" spans="1:20" x14ac:dyDescent="0.25">
      <c r="A70">
        <v>69</v>
      </c>
      <c r="B70">
        <v>93</v>
      </c>
      <c r="C70">
        <v>60000</v>
      </c>
      <c r="D70">
        <v>458719</v>
      </c>
      <c r="E70">
        <v>0</v>
      </c>
      <c r="F70">
        <v>60000</v>
      </c>
      <c r="G70">
        <v>458719</v>
      </c>
      <c r="H70">
        <v>0.18191720413781265</v>
      </c>
      <c r="I70">
        <v>0.15236318282857747</v>
      </c>
      <c r="J70">
        <f t="shared" si="15"/>
        <v>0.13008628022096916</v>
      </c>
      <c r="K70">
        <f t="shared" si="16"/>
        <v>0.13398886862759823</v>
      </c>
      <c r="L70">
        <f t="shared" si="9"/>
        <v>216.33986526282661</v>
      </c>
      <c r="M70">
        <f t="shared" si="10"/>
        <v>1653.9867775583093</v>
      </c>
      <c r="N70">
        <f t="shared" si="11"/>
        <v>0</v>
      </c>
      <c r="O70">
        <f t="shared" si="12"/>
        <v>972.88171654499843</v>
      </c>
      <c r="P70">
        <f t="shared" si="13"/>
        <v>7437.9888021967527</v>
      </c>
      <c r="Q70">
        <f>SUM($L$2:L70)+O70</f>
        <v>12410.585151640596</v>
      </c>
      <c r="R70">
        <f>SUM($M$2:M70)+P70</f>
        <v>49591.3645920821</v>
      </c>
      <c r="S70">
        <f>SUM($N$2:N70)</f>
        <v>21001.695805847339</v>
      </c>
      <c r="T70">
        <f t="shared" si="14"/>
        <v>-8591.1106542067428</v>
      </c>
    </row>
    <row r="71" spans="1:20" x14ac:dyDescent="0.25">
      <c r="A71">
        <v>70</v>
      </c>
      <c r="B71">
        <v>94</v>
      </c>
      <c r="C71">
        <v>60000</v>
      </c>
      <c r="D71">
        <v>492572</v>
      </c>
      <c r="E71">
        <v>0</v>
      </c>
      <c r="F71">
        <v>60000</v>
      </c>
      <c r="G71">
        <v>492572</v>
      </c>
      <c r="H71">
        <v>0.1982505406539492</v>
      </c>
      <c r="I71">
        <v>0.12464569859486427</v>
      </c>
      <c r="J71">
        <f t="shared" si="15"/>
        <v>0.12629735943783413</v>
      </c>
      <c r="K71">
        <f t="shared" si="16"/>
        <v>0.13008628022096916</v>
      </c>
      <c r="L71">
        <f t="shared" si="9"/>
        <v>187.25662747319234</v>
      </c>
      <c r="M71">
        <f t="shared" si="10"/>
        <v>1537.289525128755</v>
      </c>
      <c r="N71">
        <f t="shared" si="11"/>
        <v>0</v>
      </c>
      <c r="O71">
        <f t="shared" si="12"/>
        <v>757.28872839573808</v>
      </c>
      <c r="P71">
        <f t="shared" si="13"/>
        <v>6216.987058722425</v>
      </c>
      <c r="Q71">
        <f>SUM($L$2:L71)+O71</f>
        <v>12382.24879096453</v>
      </c>
      <c r="R71">
        <f>SUM($M$2:M71)+P71</f>
        <v>49907.652373736535</v>
      </c>
      <c r="S71">
        <f>SUM($N$2:N71)</f>
        <v>21001.695805847339</v>
      </c>
      <c r="T71">
        <f t="shared" si="14"/>
        <v>-8619.4470148828095</v>
      </c>
    </row>
    <row r="72" spans="1:20" x14ac:dyDescent="0.25">
      <c r="A72">
        <v>71</v>
      </c>
      <c r="B72">
        <v>95</v>
      </c>
      <c r="C72">
        <v>60000</v>
      </c>
      <c r="D72">
        <v>526424</v>
      </c>
      <c r="E72">
        <v>0</v>
      </c>
      <c r="F72">
        <v>60000</v>
      </c>
      <c r="G72">
        <v>526424</v>
      </c>
      <c r="H72">
        <v>0.21570916703570997</v>
      </c>
      <c r="I72">
        <v>9.9934621458243222E-2</v>
      </c>
      <c r="J72">
        <f t="shared" si="15"/>
        <v>0.12261879557071274</v>
      </c>
      <c r="K72">
        <f t="shared" si="16"/>
        <v>0.12629735943783413</v>
      </c>
      <c r="L72">
        <f t="shared" si="9"/>
        <v>158.59623379395791</v>
      </c>
      <c r="M72">
        <f t="shared" si="10"/>
        <v>1391.4810629791752</v>
      </c>
      <c r="N72">
        <f t="shared" si="11"/>
        <v>0</v>
      </c>
      <c r="O72">
        <f t="shared" si="12"/>
        <v>576.63554134753542</v>
      </c>
      <c r="P72">
        <f t="shared" si="13"/>
        <v>5059.246470305583</v>
      </c>
      <c r="Q72">
        <f>SUM($L$2:L72)+O72</f>
        <v>12360.191837710285</v>
      </c>
      <c r="R72">
        <f>SUM($M$2:M72)+P72</f>
        <v>50141.392848298863</v>
      </c>
      <c r="S72">
        <f>SUM($N$2:N72)</f>
        <v>21001.695805847339</v>
      </c>
      <c r="T72">
        <f t="shared" si="14"/>
        <v>-8641.5039681370545</v>
      </c>
    </row>
    <row r="73" spans="1:20" x14ac:dyDescent="0.25">
      <c r="A73">
        <v>72</v>
      </c>
      <c r="B73">
        <v>96</v>
      </c>
      <c r="C73">
        <v>60000</v>
      </c>
      <c r="D73">
        <v>553451</v>
      </c>
      <c r="E73">
        <v>0</v>
      </c>
      <c r="F73">
        <v>60000</v>
      </c>
      <c r="G73">
        <v>553451</v>
      </c>
      <c r="H73">
        <v>0.23431805348801396</v>
      </c>
      <c r="I73">
        <v>7.8377807505456587E-2</v>
      </c>
      <c r="J73">
        <f t="shared" si="15"/>
        <v>0.11904737434049781</v>
      </c>
      <c r="K73">
        <f t="shared" si="16"/>
        <v>0.12261879557071274</v>
      </c>
      <c r="L73">
        <f t="shared" si="9"/>
        <v>131.18069671899192</v>
      </c>
      <c r="M73">
        <f t="shared" si="10"/>
        <v>1210.03479633038</v>
      </c>
      <c r="N73">
        <f t="shared" si="11"/>
        <v>0</v>
      </c>
      <c r="O73">
        <f t="shared" si="12"/>
        <v>428.65963468638228</v>
      </c>
      <c r="P73">
        <f t="shared" si="13"/>
        <v>3954.0350579468827</v>
      </c>
      <c r="Q73">
        <f>SUM($L$2:L73)+O73</f>
        <v>12343.396627768123</v>
      </c>
      <c r="R73">
        <f>SUM($M$2:M73)+P73</f>
        <v>50246.216232270541</v>
      </c>
      <c r="S73">
        <f>SUM($N$2:N73)</f>
        <v>21001.695805847339</v>
      </c>
      <c r="T73">
        <f t="shared" si="14"/>
        <v>-8658.2991780792163</v>
      </c>
    </row>
    <row r="74" spans="1:20" x14ac:dyDescent="0.25">
      <c r="A74">
        <v>73</v>
      </c>
      <c r="B74">
        <v>97</v>
      </c>
      <c r="C74">
        <v>60000</v>
      </c>
      <c r="D74">
        <v>580479</v>
      </c>
      <c r="E74">
        <v>0</v>
      </c>
      <c r="F74">
        <v>60000</v>
      </c>
      <c r="G74">
        <v>580479</v>
      </c>
      <c r="H74">
        <v>0.25413559037961952</v>
      </c>
      <c r="I74">
        <v>6.0012472214119754E-2</v>
      </c>
      <c r="J74">
        <f t="shared" si="15"/>
        <v>0.11557997508786194</v>
      </c>
      <c r="K74">
        <f t="shared" si="16"/>
        <v>0.11904737434049781</v>
      </c>
      <c r="L74">
        <f t="shared" si="9"/>
        <v>105.76472750770463</v>
      </c>
      <c r="M74">
        <f t="shared" si="10"/>
        <v>1023.2367209824146</v>
      </c>
      <c r="N74">
        <f t="shared" si="11"/>
        <v>0</v>
      </c>
      <c r="O74">
        <f t="shared" si="12"/>
        <v>310.40967510043339</v>
      </c>
      <c r="P74">
        <f t="shared" si="13"/>
        <v>3003.1049632104086</v>
      </c>
      <c r="Q74">
        <f>SUM($L$2:L74)+O74</f>
        <v>12330.911395689878</v>
      </c>
      <c r="R74">
        <f>SUM($M$2:M74)+P74</f>
        <v>50318.522858516488</v>
      </c>
      <c r="S74">
        <f>SUM($N$2:N74)</f>
        <v>21001.695805847339</v>
      </c>
      <c r="T74">
        <f t="shared" si="14"/>
        <v>-8670.784410157461</v>
      </c>
    </row>
    <row r="75" spans="1:20" x14ac:dyDescent="0.25">
      <c r="A75">
        <v>74</v>
      </c>
      <c r="B75">
        <v>98</v>
      </c>
      <c r="C75">
        <v>60000</v>
      </c>
      <c r="D75">
        <v>607506</v>
      </c>
      <c r="E75">
        <v>0</v>
      </c>
      <c r="F75">
        <v>60000</v>
      </c>
      <c r="G75">
        <v>607506</v>
      </c>
      <c r="H75">
        <v>0.27513370185609637</v>
      </c>
      <c r="I75">
        <v>4.4761167157843916E-2</v>
      </c>
      <c r="J75">
        <f t="shared" si="15"/>
        <v>0.1122135680464679</v>
      </c>
      <c r="K75">
        <f t="shared" si="16"/>
        <v>0.11557997508786194</v>
      </c>
      <c r="L75">
        <f t="shared" si="9"/>
        <v>82.916663109058632</v>
      </c>
      <c r="M75">
        <f t="shared" si="10"/>
        <v>839.53950564552952</v>
      </c>
      <c r="N75">
        <f t="shared" si="11"/>
        <v>0</v>
      </c>
      <c r="O75">
        <f t="shared" si="12"/>
        <v>218.4519534933039</v>
      </c>
      <c r="P75">
        <f t="shared" si="13"/>
        <v>2211.8478743150517</v>
      </c>
      <c r="Q75">
        <f>SUM($L$2:L75)+O75</f>
        <v>12321.870337191809</v>
      </c>
      <c r="R75">
        <f>SUM($M$2:M75)+P75</f>
        <v>50366.805275266655</v>
      </c>
      <c r="S75">
        <f>SUM($N$2:N75)</f>
        <v>21001.695805847339</v>
      </c>
      <c r="T75">
        <f t="shared" si="14"/>
        <v>-8679.8254686555301</v>
      </c>
    </row>
    <row r="76" spans="1:20" x14ac:dyDescent="0.25">
      <c r="A76">
        <v>75</v>
      </c>
      <c r="B76">
        <v>99</v>
      </c>
      <c r="C76">
        <v>60000</v>
      </c>
      <c r="D76">
        <v>634534</v>
      </c>
      <c r="E76">
        <v>0</v>
      </c>
      <c r="F76">
        <v>60000</v>
      </c>
      <c r="G76">
        <v>634534</v>
      </c>
      <c r="H76">
        <v>0.29738359476718951</v>
      </c>
      <c r="I76">
        <v>3.2445861538306794E-2</v>
      </c>
      <c r="J76">
        <f t="shared" si="15"/>
        <v>0.1089452116955999</v>
      </c>
      <c r="K76">
        <f t="shared" si="16"/>
        <v>0.1122135680464679</v>
      </c>
      <c r="L76">
        <f t="shared" si="9"/>
        <v>63.071871081314185</v>
      </c>
      <c r="M76">
        <f t="shared" si="10"/>
        <v>667.02077741184371</v>
      </c>
      <c r="N76">
        <f t="shared" si="11"/>
        <v>0</v>
      </c>
      <c r="O76">
        <f t="shared" si="12"/>
        <v>149.0174041549032</v>
      </c>
      <c r="P76">
        <f t="shared" si="13"/>
        <v>1575.9434921337891</v>
      </c>
      <c r="Q76">
        <f>SUM($L$2:L76)+O76</f>
        <v>12315.507658934723</v>
      </c>
      <c r="R76">
        <f>SUM($M$2:M76)+P76</f>
        <v>50397.921670497242</v>
      </c>
      <c r="S76">
        <f>SUM($N$2:N76)</f>
        <v>21001.695805847339</v>
      </c>
      <c r="T76">
        <f t="shared" si="14"/>
        <v>-8686.1881469126165</v>
      </c>
    </row>
    <row r="77" spans="1:20" x14ac:dyDescent="0.25">
      <c r="A77">
        <v>76</v>
      </c>
      <c r="B77">
        <v>100</v>
      </c>
      <c r="C77">
        <v>60000</v>
      </c>
      <c r="D77">
        <v>661561</v>
      </c>
      <c r="E77">
        <v>0</v>
      </c>
      <c r="F77">
        <v>60000</v>
      </c>
      <c r="G77">
        <v>661561</v>
      </c>
      <c r="H77">
        <v>0.32084712111184643</v>
      </c>
      <c r="I77">
        <v>2.2796994598726628E-2</v>
      </c>
      <c r="J77">
        <f>J76/1.03</f>
        <v>0.10577205018990281</v>
      </c>
      <c r="K77">
        <f t="shared" si="16"/>
        <v>0.1089452116955999</v>
      </c>
      <c r="L77">
        <f>C77*H77*I77*J77</f>
        <v>46.419228270544849</v>
      </c>
      <c r="M77">
        <f t="shared" si="10"/>
        <v>511.81918456483203</v>
      </c>
      <c r="N77">
        <f t="shared" si="11"/>
        <v>0</v>
      </c>
      <c r="O77">
        <f t="shared" si="12"/>
        <v>98.257863141982682</v>
      </c>
      <c r="P77">
        <f t="shared" si="13"/>
        <v>1083.3928366345533</v>
      </c>
      <c r="Q77">
        <f>SUM($L$2:L77)+O77</f>
        <v>12311.167346192346</v>
      </c>
      <c r="R77">
        <f>SUM($M$2:M77)+P77</f>
        <v>50417.190199562836</v>
      </c>
      <c r="S77">
        <f>SUM($N$2:N77)</f>
        <v>21001.695805847339</v>
      </c>
      <c r="T77">
        <f t="shared" si="14"/>
        <v>-8690.5284596549936</v>
      </c>
    </row>
    <row r="78" spans="1:20" x14ac:dyDescent="0.25">
      <c r="A78" t="s">
        <v>10</v>
      </c>
      <c r="B78" t="s">
        <v>11</v>
      </c>
      <c r="C78">
        <v>60000</v>
      </c>
      <c r="D78">
        <v>661561</v>
      </c>
      <c r="E78">
        <v>0</v>
      </c>
      <c r="F78">
        <v>60000</v>
      </c>
      <c r="G78">
        <v>661561</v>
      </c>
      <c r="H78">
        <v>1</v>
      </c>
      <c r="I78">
        <v>1.54826445117229E-2</v>
      </c>
      <c r="J78">
        <f>J77/1.03</f>
        <v>0.10269131086398331</v>
      </c>
      <c r="K78">
        <f>K77/1.03</f>
        <v>0.10577205018990281</v>
      </c>
      <c r="L78">
        <f>C78*H78*I78*J78</f>
        <v>95.395983632992895</v>
      </c>
      <c r="M78">
        <f>D78*H78*I78*J78</f>
        <v>1051.8377054704401</v>
      </c>
      <c r="N78">
        <f t="shared" si="11"/>
        <v>0</v>
      </c>
      <c r="O78">
        <f>F78*I79*J78</f>
        <v>0</v>
      </c>
      <c r="P78">
        <f t="shared" si="13"/>
        <v>0</v>
      </c>
      <c r="Q78">
        <f>SUM($L$2:L78)+O78</f>
        <v>12308.305466683356</v>
      </c>
      <c r="R78">
        <f>SUM($M$2:M78)+P78</f>
        <v>50385.635068398726</v>
      </c>
      <c r="S78">
        <f>SUM($N$2:N78)</f>
        <v>21001.695805847339</v>
      </c>
      <c r="T78">
        <f t="shared" si="14"/>
        <v>-8693.3903391639833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8"/>
  <sheetViews>
    <sheetView workbookViewId="0">
      <selection activeCell="F3" sqref="F3"/>
    </sheetView>
  </sheetViews>
  <sheetFormatPr defaultRowHeight="15" x14ac:dyDescent="0.25"/>
  <sheetData>
    <row r="1" spans="1:5" x14ac:dyDescent="0.25">
      <c r="A1" t="s">
        <v>1</v>
      </c>
      <c r="B1" t="s">
        <v>2</v>
      </c>
      <c r="C1" t="s">
        <v>8</v>
      </c>
      <c r="D1" t="s">
        <v>9</v>
      </c>
      <c r="E1" t="s">
        <v>16</v>
      </c>
    </row>
    <row r="2" spans="1:5" x14ac:dyDescent="0.25">
      <c r="A2">
        <v>24</v>
      </c>
      <c r="B2">
        <v>994210</v>
      </c>
      <c r="C2">
        <f t="shared" ref="C2:C33" si="0">B2-B3</f>
        <v>494</v>
      </c>
      <c r="D2">
        <f t="shared" ref="D2:D33" si="1">C2/B2</f>
        <v>4.9687691735146502E-4</v>
      </c>
      <c r="E2">
        <f>B2/$B$2</f>
        <v>1</v>
      </c>
    </row>
    <row r="3" spans="1:5" x14ac:dyDescent="0.25">
      <c r="A3">
        <v>25</v>
      </c>
      <c r="B3">
        <v>993716</v>
      </c>
      <c r="C3">
        <f t="shared" si="0"/>
        <v>516</v>
      </c>
      <c r="D3">
        <f t="shared" si="1"/>
        <v>5.1926304899991551E-4</v>
      </c>
      <c r="E3">
        <f t="shared" ref="E3:E66" si="2">B3/$B$2</f>
        <v>0.99950312308264855</v>
      </c>
    </row>
    <row r="4" spans="1:5" x14ac:dyDescent="0.25">
      <c r="A4">
        <v>26</v>
      </c>
      <c r="B4">
        <v>993200</v>
      </c>
      <c r="C4">
        <f t="shared" si="0"/>
        <v>539</v>
      </c>
      <c r="D4">
        <f t="shared" si="1"/>
        <v>5.4269029399919453E-4</v>
      </c>
      <c r="E4">
        <f t="shared" si="2"/>
        <v>0.99898411804347165</v>
      </c>
    </row>
    <row r="5" spans="1:5" x14ac:dyDescent="0.25">
      <c r="A5">
        <v>27</v>
      </c>
      <c r="B5">
        <v>992661</v>
      </c>
      <c r="C5">
        <f t="shared" si="0"/>
        <v>569</v>
      </c>
      <c r="D5">
        <f t="shared" si="1"/>
        <v>5.7320676444425642E-4</v>
      </c>
      <c r="E5">
        <f t="shared" si="2"/>
        <v>0.99844197905875021</v>
      </c>
    </row>
    <row r="6" spans="1:5" x14ac:dyDescent="0.25">
      <c r="A6">
        <v>28</v>
      </c>
      <c r="B6">
        <v>992092</v>
      </c>
      <c r="C6">
        <f t="shared" si="0"/>
        <v>607</v>
      </c>
      <c r="D6">
        <f t="shared" si="1"/>
        <v>6.1183841821121432E-4</v>
      </c>
      <c r="E6">
        <f t="shared" si="2"/>
        <v>0.99786966536244859</v>
      </c>
    </row>
    <row r="7" spans="1:5" x14ac:dyDescent="0.25">
      <c r="A7">
        <v>29</v>
      </c>
      <c r="B7">
        <v>991485</v>
      </c>
      <c r="C7">
        <f t="shared" si="0"/>
        <v>652</v>
      </c>
      <c r="D7">
        <f t="shared" si="1"/>
        <v>6.5759945939676339E-4</v>
      </c>
      <c r="E7">
        <f t="shared" si="2"/>
        <v>0.99725913036481229</v>
      </c>
    </row>
    <row r="8" spans="1:5" x14ac:dyDescent="0.25">
      <c r="A8">
        <v>30</v>
      </c>
      <c r="B8">
        <v>990833</v>
      </c>
      <c r="C8">
        <f t="shared" si="0"/>
        <v>701</v>
      </c>
      <c r="D8">
        <f t="shared" si="1"/>
        <v>7.0748551975963658E-4</v>
      </c>
      <c r="E8">
        <f t="shared" si="2"/>
        <v>0.99660333329980588</v>
      </c>
    </row>
    <row r="9" spans="1:5" x14ac:dyDescent="0.25">
      <c r="A9">
        <v>31</v>
      </c>
      <c r="B9">
        <v>990132</v>
      </c>
      <c r="C9">
        <f t="shared" si="0"/>
        <v>748</v>
      </c>
      <c r="D9">
        <f t="shared" si="1"/>
        <v>7.554548282451229E-4</v>
      </c>
      <c r="E9">
        <f t="shared" si="2"/>
        <v>0.99589825087255213</v>
      </c>
    </row>
    <row r="10" spans="1:5" x14ac:dyDescent="0.25">
      <c r="A10">
        <v>32</v>
      </c>
      <c r="B10">
        <v>989384</v>
      </c>
      <c r="C10">
        <f t="shared" si="0"/>
        <v>791</v>
      </c>
      <c r="D10">
        <f t="shared" si="1"/>
        <v>7.9948735779030182E-4</v>
      </c>
      <c r="E10">
        <f t="shared" si="2"/>
        <v>0.99514589473048953</v>
      </c>
    </row>
    <row r="11" spans="1:5" x14ac:dyDescent="0.25">
      <c r="A11">
        <v>33</v>
      </c>
      <c r="B11">
        <v>988593</v>
      </c>
      <c r="C11">
        <f t="shared" si="0"/>
        <v>826</v>
      </c>
      <c r="D11">
        <f t="shared" si="1"/>
        <v>8.3553090098756517E-4</v>
      </c>
      <c r="E11">
        <f t="shared" si="2"/>
        <v>0.99435028816849558</v>
      </c>
    </row>
    <row r="12" spans="1:5" x14ac:dyDescent="0.25">
      <c r="A12">
        <v>34</v>
      </c>
      <c r="B12">
        <v>987767</v>
      </c>
      <c r="C12">
        <f t="shared" si="0"/>
        <v>856</v>
      </c>
      <c r="D12">
        <f t="shared" si="1"/>
        <v>8.6660113164339361E-4</v>
      </c>
      <c r="E12">
        <f t="shared" si="2"/>
        <v>0.99351947777632488</v>
      </c>
    </row>
    <row r="13" spans="1:5" x14ac:dyDescent="0.25">
      <c r="A13">
        <v>35</v>
      </c>
      <c r="B13">
        <v>986911</v>
      </c>
      <c r="C13">
        <f t="shared" si="0"/>
        <v>879</v>
      </c>
      <c r="D13">
        <f t="shared" si="1"/>
        <v>8.9065782020871182E-4</v>
      </c>
      <c r="E13">
        <f t="shared" si="2"/>
        <v>0.99265849267257422</v>
      </c>
    </row>
    <row r="14" spans="1:5" x14ac:dyDescent="0.25">
      <c r="A14">
        <v>36</v>
      </c>
      <c r="B14">
        <v>986032</v>
      </c>
      <c r="C14">
        <f t="shared" si="0"/>
        <v>895</v>
      </c>
      <c r="D14">
        <f t="shared" si="1"/>
        <v>9.0767845262628398E-4</v>
      </c>
      <c r="E14">
        <f t="shared" si="2"/>
        <v>0.9917743736232788</v>
      </c>
    </row>
    <row r="15" spans="1:5" x14ac:dyDescent="0.25">
      <c r="A15">
        <v>37</v>
      </c>
      <c r="B15">
        <v>985137</v>
      </c>
      <c r="C15">
        <f t="shared" si="0"/>
        <v>913</v>
      </c>
      <c r="D15">
        <f t="shared" si="1"/>
        <v>9.2677465164743588E-4</v>
      </c>
      <c r="E15">
        <f t="shared" si="2"/>
        <v>0.99087416139447404</v>
      </c>
    </row>
    <row r="16" spans="1:5" x14ac:dyDescent="0.25">
      <c r="A16">
        <v>38</v>
      </c>
      <c r="B16">
        <v>984224</v>
      </c>
      <c r="C16">
        <f t="shared" si="0"/>
        <v>936</v>
      </c>
      <c r="D16">
        <f t="shared" si="1"/>
        <v>9.5100302370192146E-4</v>
      </c>
      <c r="E16">
        <f t="shared" si="2"/>
        <v>0.98995584433872119</v>
      </c>
    </row>
    <row r="17" spans="1:5" x14ac:dyDescent="0.25">
      <c r="A17">
        <v>39</v>
      </c>
      <c r="B17">
        <v>983288</v>
      </c>
      <c r="C17">
        <f t="shared" si="0"/>
        <v>970</v>
      </c>
      <c r="D17">
        <f t="shared" si="1"/>
        <v>9.8648615664993365E-4</v>
      </c>
      <c r="E17">
        <f t="shared" si="2"/>
        <v>0.98901439333742369</v>
      </c>
    </row>
    <row r="18" spans="1:5" x14ac:dyDescent="0.25">
      <c r="A18">
        <v>40</v>
      </c>
      <c r="B18">
        <v>982318</v>
      </c>
      <c r="C18">
        <f t="shared" si="0"/>
        <v>1022</v>
      </c>
      <c r="D18">
        <f t="shared" si="1"/>
        <v>1.0403962871493753E-3</v>
      </c>
      <c r="E18">
        <f t="shared" si="2"/>
        <v>0.98803874432966876</v>
      </c>
    </row>
    <row r="19" spans="1:5" x14ac:dyDescent="0.25">
      <c r="A19">
        <v>41</v>
      </c>
      <c r="B19">
        <v>981296</v>
      </c>
      <c r="C19">
        <f t="shared" si="0"/>
        <v>1098</v>
      </c>
      <c r="D19">
        <f t="shared" si="1"/>
        <v>1.1189284374949046E-3</v>
      </c>
      <c r="E19">
        <f t="shared" si="2"/>
        <v>0.98701079248850843</v>
      </c>
    </row>
    <row r="20" spans="1:5" x14ac:dyDescent="0.25">
      <c r="A20">
        <v>42</v>
      </c>
      <c r="B20">
        <v>980198</v>
      </c>
      <c r="C20">
        <f t="shared" si="0"/>
        <v>1199</v>
      </c>
      <c r="D20">
        <f t="shared" si="1"/>
        <v>1.2232222469337828E-3</v>
      </c>
      <c r="E20">
        <f t="shared" si="2"/>
        <v>0.98590639804467872</v>
      </c>
    </row>
    <row r="21" spans="1:5" x14ac:dyDescent="0.25">
      <c r="A21">
        <v>43</v>
      </c>
      <c r="B21">
        <v>978999</v>
      </c>
      <c r="C21">
        <f t="shared" si="0"/>
        <v>1329</v>
      </c>
      <c r="D21">
        <f t="shared" si="1"/>
        <v>1.3575090475066881E-3</v>
      </c>
      <c r="E21">
        <f t="shared" si="2"/>
        <v>0.98470041540519604</v>
      </c>
    </row>
    <row r="22" spans="1:5" x14ac:dyDescent="0.25">
      <c r="A22">
        <v>44</v>
      </c>
      <c r="B22">
        <v>977670</v>
      </c>
      <c r="C22">
        <f t="shared" si="0"/>
        <v>1487</v>
      </c>
      <c r="D22">
        <f t="shared" si="1"/>
        <v>1.5209631061605653E-3</v>
      </c>
      <c r="E22">
        <f t="shared" si="2"/>
        <v>0.98336367568219996</v>
      </c>
    </row>
    <row r="23" spans="1:5" x14ac:dyDescent="0.25">
      <c r="A23">
        <v>45</v>
      </c>
      <c r="B23">
        <v>976183</v>
      </c>
      <c r="C23">
        <f t="shared" si="0"/>
        <v>1669</v>
      </c>
      <c r="D23">
        <f t="shared" si="1"/>
        <v>1.7097204110294894E-3</v>
      </c>
      <c r="E23">
        <f t="shared" si="2"/>
        <v>0.98186801581154892</v>
      </c>
    </row>
    <row r="24" spans="1:5" x14ac:dyDescent="0.25">
      <c r="A24">
        <v>46</v>
      </c>
      <c r="B24">
        <v>974514</v>
      </c>
      <c r="C24">
        <f t="shared" si="0"/>
        <v>1873</v>
      </c>
      <c r="D24">
        <f t="shared" si="1"/>
        <v>1.9219836759656608E-3</v>
      </c>
      <c r="E24">
        <f t="shared" si="2"/>
        <v>0.98018929602397886</v>
      </c>
    </row>
    <row r="25" spans="1:5" x14ac:dyDescent="0.25">
      <c r="A25">
        <v>47</v>
      </c>
      <c r="B25">
        <v>972641</v>
      </c>
      <c r="C25">
        <f t="shared" si="0"/>
        <v>2091</v>
      </c>
      <c r="D25">
        <f t="shared" si="1"/>
        <v>2.1498168388953375E-3</v>
      </c>
      <c r="E25">
        <f t="shared" si="2"/>
        <v>0.97830538819766444</v>
      </c>
    </row>
    <row r="26" spans="1:5" x14ac:dyDescent="0.25">
      <c r="A26">
        <v>48</v>
      </c>
      <c r="B26">
        <v>970550</v>
      </c>
      <c r="C26">
        <f t="shared" si="0"/>
        <v>2323</v>
      </c>
      <c r="D26">
        <f t="shared" si="1"/>
        <v>2.3934882283241461E-3</v>
      </c>
      <c r="E26">
        <f t="shared" si="2"/>
        <v>0.97620221080053515</v>
      </c>
    </row>
    <row r="27" spans="1:5" x14ac:dyDescent="0.25">
      <c r="A27">
        <v>49</v>
      </c>
      <c r="B27">
        <v>968227</v>
      </c>
      <c r="C27">
        <f t="shared" si="0"/>
        <v>2571</v>
      </c>
      <c r="D27">
        <f t="shared" si="1"/>
        <v>2.6553690405245879E-3</v>
      </c>
      <c r="E27">
        <f t="shared" si="2"/>
        <v>0.97386568230052006</v>
      </c>
    </row>
    <row r="28" spans="1:5" x14ac:dyDescent="0.25">
      <c r="A28">
        <v>50</v>
      </c>
      <c r="B28">
        <v>965656</v>
      </c>
      <c r="C28">
        <f t="shared" si="0"/>
        <v>2835</v>
      </c>
      <c r="D28">
        <f t="shared" si="1"/>
        <v>2.9358280795645656E-3</v>
      </c>
      <c r="E28">
        <f t="shared" si="2"/>
        <v>0.97127970951810982</v>
      </c>
    </row>
    <row r="29" spans="1:5" x14ac:dyDescent="0.25">
      <c r="A29">
        <v>51</v>
      </c>
      <c r="B29">
        <v>962821</v>
      </c>
      <c r="C29">
        <f t="shared" si="0"/>
        <v>3117</v>
      </c>
      <c r="D29">
        <f t="shared" si="1"/>
        <v>3.2373618772336705E-3</v>
      </c>
      <c r="E29">
        <f t="shared" si="2"/>
        <v>0.96842819927379531</v>
      </c>
    </row>
    <row r="30" spans="1:5" x14ac:dyDescent="0.25">
      <c r="A30">
        <v>52</v>
      </c>
      <c r="B30">
        <v>959704</v>
      </c>
      <c r="C30">
        <f t="shared" si="0"/>
        <v>3423</v>
      </c>
      <c r="D30">
        <f t="shared" si="1"/>
        <v>3.5667247401282064E-3</v>
      </c>
      <c r="E30">
        <f t="shared" si="2"/>
        <v>0.96529304674062821</v>
      </c>
    </row>
    <row r="31" spans="1:5" x14ac:dyDescent="0.25">
      <c r="A31">
        <v>53</v>
      </c>
      <c r="B31">
        <v>956281</v>
      </c>
      <c r="C31">
        <f t="shared" si="0"/>
        <v>3755</v>
      </c>
      <c r="D31">
        <f t="shared" si="1"/>
        <v>3.926670089649381E-3</v>
      </c>
      <c r="E31">
        <f t="shared" si="2"/>
        <v>0.96185011214934468</v>
      </c>
    </row>
    <row r="32" spans="1:5" x14ac:dyDescent="0.25">
      <c r="A32">
        <v>54</v>
      </c>
      <c r="B32">
        <v>952526</v>
      </c>
      <c r="C32">
        <f t="shared" si="0"/>
        <v>4116</v>
      </c>
      <c r="D32">
        <f t="shared" si="1"/>
        <v>4.3211418900901393E-3</v>
      </c>
      <c r="E32">
        <f t="shared" si="2"/>
        <v>0.95807324408324201</v>
      </c>
    </row>
    <row r="33" spans="1:5" x14ac:dyDescent="0.25">
      <c r="A33">
        <v>55</v>
      </c>
      <c r="B33">
        <v>948410</v>
      </c>
      <c r="C33">
        <f t="shared" si="0"/>
        <v>4498</v>
      </c>
      <c r="D33">
        <f t="shared" si="1"/>
        <v>4.7426745816682662E-3</v>
      </c>
      <c r="E33">
        <f t="shared" si="2"/>
        <v>0.95393327365445935</v>
      </c>
    </row>
    <row r="34" spans="1:5" x14ac:dyDescent="0.25">
      <c r="A34">
        <v>56</v>
      </c>
      <c r="B34">
        <v>943912</v>
      </c>
      <c r="C34">
        <f t="shared" ref="C34:C65" si="3">B34-B35</f>
        <v>4896</v>
      </c>
      <c r="D34">
        <f t="shared" ref="D34:D65" si="4">C34/B34</f>
        <v>5.1869242047987525E-3</v>
      </c>
      <c r="E34">
        <f t="shared" si="2"/>
        <v>0.94940907856489076</v>
      </c>
    </row>
    <row r="35" spans="1:5" x14ac:dyDescent="0.25">
      <c r="A35">
        <v>57</v>
      </c>
      <c r="B35">
        <v>939016</v>
      </c>
      <c r="C35">
        <f t="shared" si="3"/>
        <v>5315</v>
      </c>
      <c r="D35">
        <f t="shared" si="4"/>
        <v>5.6601804442096837E-3</v>
      </c>
      <c r="E35">
        <f t="shared" si="2"/>
        <v>0.94448456563502681</v>
      </c>
    </row>
    <row r="36" spans="1:5" x14ac:dyDescent="0.25">
      <c r="A36">
        <v>58</v>
      </c>
      <c r="B36">
        <v>933701</v>
      </c>
      <c r="C36">
        <f t="shared" si="3"/>
        <v>5764</v>
      </c>
      <c r="D36">
        <f t="shared" si="4"/>
        <v>6.1732824533764019E-3</v>
      </c>
      <c r="E36">
        <f t="shared" si="2"/>
        <v>0.93913861256676157</v>
      </c>
    </row>
    <row r="37" spans="1:5" x14ac:dyDescent="0.25">
      <c r="A37">
        <v>59</v>
      </c>
      <c r="B37">
        <v>927937</v>
      </c>
      <c r="C37">
        <f t="shared" si="3"/>
        <v>6255</v>
      </c>
      <c r="D37">
        <f t="shared" si="4"/>
        <v>6.7407593403431484E-3</v>
      </c>
      <c r="E37">
        <f t="shared" si="2"/>
        <v>0.93334104464851486</v>
      </c>
    </row>
    <row r="38" spans="1:5" x14ac:dyDescent="0.25">
      <c r="A38">
        <v>60</v>
      </c>
      <c r="B38">
        <v>921682</v>
      </c>
      <c r="C38">
        <f t="shared" si="3"/>
        <v>6791</v>
      </c>
      <c r="D38">
        <f t="shared" si="4"/>
        <v>7.3680510197660365E-3</v>
      </c>
      <c r="E38">
        <f t="shared" si="2"/>
        <v>0.92704961728407476</v>
      </c>
    </row>
    <row r="39" spans="1:5" x14ac:dyDescent="0.25">
      <c r="A39">
        <v>61</v>
      </c>
      <c r="B39">
        <v>914891</v>
      </c>
      <c r="C39">
        <f t="shared" si="3"/>
        <v>7380</v>
      </c>
      <c r="D39">
        <f t="shared" si="4"/>
        <v>8.0665347019481005E-3</v>
      </c>
      <c r="E39">
        <f t="shared" si="2"/>
        <v>0.92021906840607115</v>
      </c>
    </row>
    <row r="40" spans="1:5" x14ac:dyDescent="0.25">
      <c r="A40">
        <v>62</v>
      </c>
      <c r="B40">
        <v>907511</v>
      </c>
      <c r="C40">
        <f t="shared" si="3"/>
        <v>8038</v>
      </c>
      <c r="D40">
        <f t="shared" si="4"/>
        <v>8.857192915567965E-3</v>
      </c>
      <c r="E40">
        <f t="shared" si="2"/>
        <v>0.91279608935737921</v>
      </c>
    </row>
    <row r="41" spans="1:5" x14ac:dyDescent="0.25">
      <c r="A41">
        <v>63</v>
      </c>
      <c r="B41">
        <v>899473</v>
      </c>
      <c r="C41">
        <f t="shared" si="3"/>
        <v>8780</v>
      </c>
      <c r="D41">
        <f t="shared" si="4"/>
        <v>9.7612713222075594E-3</v>
      </c>
      <c r="E41">
        <f t="shared" si="2"/>
        <v>0.90471127830136489</v>
      </c>
    </row>
    <row r="42" spans="1:5" x14ac:dyDescent="0.25">
      <c r="A42">
        <v>64</v>
      </c>
      <c r="B42">
        <v>890693</v>
      </c>
      <c r="C42">
        <f t="shared" si="3"/>
        <v>9622</v>
      </c>
      <c r="D42">
        <f t="shared" si="4"/>
        <v>1.08028243176942E-2</v>
      </c>
      <c r="E42">
        <f t="shared" si="2"/>
        <v>0.89588014604560406</v>
      </c>
    </row>
    <row r="43" spans="1:5" x14ac:dyDescent="0.25">
      <c r="A43">
        <v>65</v>
      </c>
      <c r="B43">
        <v>881071</v>
      </c>
      <c r="C43">
        <f t="shared" si="3"/>
        <v>10568</v>
      </c>
      <c r="D43">
        <f t="shared" si="4"/>
        <v>1.1994493065825569E-2</v>
      </c>
      <c r="E43">
        <f t="shared" si="2"/>
        <v>0.8862021102181632</v>
      </c>
    </row>
    <row r="44" spans="1:5" x14ac:dyDescent="0.25">
      <c r="A44">
        <v>66</v>
      </c>
      <c r="B44">
        <v>870503</v>
      </c>
      <c r="C44">
        <f t="shared" si="3"/>
        <v>11620</v>
      </c>
      <c r="D44">
        <f t="shared" si="4"/>
        <v>1.334860419780288E-2</v>
      </c>
      <c r="E44">
        <f t="shared" si="2"/>
        <v>0.87557256515223147</v>
      </c>
    </row>
    <row r="45" spans="1:5" x14ac:dyDescent="0.25">
      <c r="A45">
        <v>67</v>
      </c>
      <c r="B45">
        <v>858883</v>
      </c>
      <c r="C45">
        <f t="shared" si="3"/>
        <v>12771</v>
      </c>
      <c r="D45">
        <f t="shared" si="4"/>
        <v>1.4869312816763168E-2</v>
      </c>
      <c r="E45">
        <f t="shared" si="2"/>
        <v>0.86388489353355935</v>
      </c>
    </row>
    <row r="46" spans="1:5" x14ac:dyDescent="0.25">
      <c r="A46">
        <v>68</v>
      </c>
      <c r="B46">
        <v>846112</v>
      </c>
      <c r="C46">
        <f t="shared" si="3"/>
        <v>14027</v>
      </c>
      <c r="D46">
        <f t="shared" si="4"/>
        <v>1.6578183502893234E-2</v>
      </c>
      <c r="E46">
        <f t="shared" si="2"/>
        <v>0.85103951881393269</v>
      </c>
    </row>
    <row r="47" spans="1:5" x14ac:dyDescent="0.25">
      <c r="A47">
        <v>69</v>
      </c>
      <c r="B47">
        <v>832085</v>
      </c>
      <c r="C47">
        <f t="shared" si="3"/>
        <v>15384</v>
      </c>
      <c r="D47">
        <f t="shared" si="4"/>
        <v>1.8488495766658456E-2</v>
      </c>
      <c r="E47">
        <f t="shared" si="2"/>
        <v>0.83693082950282138</v>
      </c>
    </row>
    <row r="48" spans="1:5" x14ac:dyDescent="0.25">
      <c r="A48">
        <v>70</v>
      </c>
      <c r="B48">
        <v>816701</v>
      </c>
      <c r="C48">
        <f t="shared" si="3"/>
        <v>16789</v>
      </c>
      <c r="D48">
        <f t="shared" si="4"/>
        <v>2.055709494662061E-2</v>
      </c>
      <c r="E48">
        <f t="shared" si="2"/>
        <v>0.82145723740457244</v>
      </c>
    </row>
    <row r="49" spans="1:5" x14ac:dyDescent="0.25">
      <c r="A49">
        <v>71</v>
      </c>
      <c r="B49">
        <v>799912</v>
      </c>
      <c r="C49">
        <f t="shared" si="3"/>
        <v>18216</v>
      </c>
      <c r="D49">
        <f t="shared" si="4"/>
        <v>2.2772504975547309E-2</v>
      </c>
      <c r="E49">
        <f t="shared" si="2"/>
        <v>0.80457046298065804</v>
      </c>
    </row>
    <row r="50" spans="1:5" x14ac:dyDescent="0.25">
      <c r="A50">
        <v>72</v>
      </c>
      <c r="B50">
        <v>781696</v>
      </c>
      <c r="C50">
        <f t="shared" si="3"/>
        <v>19661</v>
      </c>
      <c r="D50">
        <f t="shared" si="4"/>
        <v>2.5151721385295561E-2</v>
      </c>
      <c r="E50">
        <f t="shared" si="2"/>
        <v>0.78624837810925252</v>
      </c>
    </row>
    <row r="51" spans="1:5" x14ac:dyDescent="0.25">
      <c r="A51">
        <v>73</v>
      </c>
      <c r="B51">
        <v>762035</v>
      </c>
      <c r="C51">
        <f t="shared" si="3"/>
        <v>21142</v>
      </c>
      <c r="D51">
        <f t="shared" si="4"/>
        <v>2.7744132487352944E-2</v>
      </c>
      <c r="E51">
        <f t="shared" si="2"/>
        <v>0.76647287796340813</v>
      </c>
    </row>
    <row r="52" spans="1:5" x14ac:dyDescent="0.25">
      <c r="A52">
        <v>74</v>
      </c>
      <c r="B52">
        <v>740893</v>
      </c>
      <c r="C52">
        <f t="shared" si="3"/>
        <v>22687</v>
      </c>
      <c r="D52">
        <f t="shared" si="4"/>
        <v>3.0621155821420908E-2</v>
      </c>
      <c r="E52">
        <f t="shared" si="2"/>
        <v>0.74520775288922858</v>
      </c>
    </row>
    <row r="53" spans="1:5" x14ac:dyDescent="0.25">
      <c r="A53">
        <v>75</v>
      </c>
      <c r="B53">
        <v>718206</v>
      </c>
      <c r="C53">
        <f t="shared" si="3"/>
        <v>24319</v>
      </c>
      <c r="D53">
        <f t="shared" si="4"/>
        <v>3.3860758612431534E-2</v>
      </c>
      <c r="E53">
        <f t="shared" si="2"/>
        <v>0.7223886301686766</v>
      </c>
    </row>
    <row r="54" spans="1:5" x14ac:dyDescent="0.25">
      <c r="A54">
        <v>76</v>
      </c>
      <c r="B54">
        <v>693887</v>
      </c>
      <c r="C54">
        <f t="shared" si="3"/>
        <v>26046</v>
      </c>
      <c r="D54">
        <f t="shared" si="4"/>
        <v>3.7536371195886362E-2</v>
      </c>
      <c r="E54">
        <f t="shared" si="2"/>
        <v>0.69792800313817005</v>
      </c>
    </row>
    <row r="55" spans="1:5" x14ac:dyDescent="0.25">
      <c r="A55">
        <v>77</v>
      </c>
      <c r="B55">
        <v>667841</v>
      </c>
      <c r="C55">
        <f t="shared" si="3"/>
        <v>27853</v>
      </c>
      <c r="D55">
        <f t="shared" si="4"/>
        <v>4.1706034819665158E-2</v>
      </c>
      <c r="E55">
        <f t="shared" si="2"/>
        <v>0.67173031854437193</v>
      </c>
    </row>
    <row r="56" spans="1:5" x14ac:dyDescent="0.25">
      <c r="A56">
        <v>78</v>
      </c>
      <c r="B56">
        <v>639988</v>
      </c>
      <c r="C56">
        <f t="shared" si="3"/>
        <v>29708</v>
      </c>
      <c r="D56">
        <f t="shared" si="4"/>
        <v>4.64196203678819E-2</v>
      </c>
      <c r="E56">
        <f t="shared" si="2"/>
        <v>0.64371511048973562</v>
      </c>
    </row>
    <row r="57" spans="1:5" x14ac:dyDescent="0.25">
      <c r="A57">
        <v>79</v>
      </c>
      <c r="B57">
        <v>610280</v>
      </c>
      <c r="C57">
        <f t="shared" si="3"/>
        <v>31555</v>
      </c>
      <c r="D57">
        <f t="shared" si="4"/>
        <v>5.1705774398636689E-2</v>
      </c>
      <c r="E57">
        <f t="shared" si="2"/>
        <v>0.61383409943573286</v>
      </c>
    </row>
    <row r="58" spans="1:5" x14ac:dyDescent="0.25">
      <c r="A58">
        <v>80</v>
      </c>
      <c r="B58">
        <v>578725</v>
      </c>
      <c r="C58">
        <f t="shared" si="3"/>
        <v>33320</v>
      </c>
      <c r="D58">
        <f t="shared" si="4"/>
        <v>5.7574841245842154E-2</v>
      </c>
      <c r="E58">
        <f t="shared" si="2"/>
        <v>0.5820953319721186</v>
      </c>
    </row>
    <row r="59" spans="1:5" x14ac:dyDescent="0.25">
      <c r="A59">
        <v>81</v>
      </c>
      <c r="B59">
        <v>545405</v>
      </c>
      <c r="C59">
        <f t="shared" si="3"/>
        <v>34922</v>
      </c>
      <c r="D59">
        <f t="shared" si="4"/>
        <v>6.4029482678009925E-2</v>
      </c>
      <c r="E59">
        <f t="shared" si="2"/>
        <v>0.54858128564387809</v>
      </c>
    </row>
    <row r="60" spans="1:5" x14ac:dyDescent="0.25">
      <c r="A60">
        <v>82</v>
      </c>
      <c r="B60">
        <v>510483</v>
      </c>
      <c r="C60">
        <f t="shared" si="3"/>
        <v>36275</v>
      </c>
      <c r="D60">
        <f t="shared" si="4"/>
        <v>7.1060152835647802E-2</v>
      </c>
      <c r="E60">
        <f t="shared" si="2"/>
        <v>0.51345590971726296</v>
      </c>
    </row>
    <row r="61" spans="1:5" x14ac:dyDescent="0.25">
      <c r="A61">
        <v>83</v>
      </c>
      <c r="B61">
        <v>474208</v>
      </c>
      <c r="C61">
        <f t="shared" si="3"/>
        <v>37298</v>
      </c>
      <c r="D61">
        <f t="shared" si="4"/>
        <v>7.8653249207098999E-2</v>
      </c>
      <c r="E61">
        <f t="shared" si="2"/>
        <v>0.47696965429838767</v>
      </c>
    </row>
    <row r="62" spans="1:5" x14ac:dyDescent="0.25">
      <c r="A62">
        <v>84</v>
      </c>
      <c r="B62">
        <v>436910</v>
      </c>
      <c r="C62">
        <f t="shared" si="3"/>
        <v>37921</v>
      </c>
      <c r="D62">
        <f t="shared" si="4"/>
        <v>8.6793618823098578E-2</v>
      </c>
      <c r="E62">
        <f t="shared" si="2"/>
        <v>0.43945444121463273</v>
      </c>
    </row>
    <row r="63" spans="1:5" x14ac:dyDescent="0.25">
      <c r="A63">
        <v>85</v>
      </c>
      <c r="B63">
        <v>398989</v>
      </c>
      <c r="C63">
        <f t="shared" si="3"/>
        <v>38167</v>
      </c>
      <c r="D63">
        <f t="shared" si="4"/>
        <v>9.5659278827235836E-2</v>
      </c>
      <c r="E63">
        <f t="shared" si="2"/>
        <v>0.40131259995373209</v>
      </c>
    </row>
    <row r="64" spans="1:5" x14ac:dyDescent="0.25">
      <c r="A64">
        <v>86</v>
      </c>
      <c r="B64">
        <v>360822</v>
      </c>
      <c r="C64">
        <f t="shared" si="3"/>
        <v>37992</v>
      </c>
      <c r="D64">
        <f t="shared" si="4"/>
        <v>0.10529291451186458</v>
      </c>
      <c r="E64">
        <f t="shared" si="2"/>
        <v>0.36292332605787508</v>
      </c>
    </row>
    <row r="65" spans="1:5" x14ac:dyDescent="0.25">
      <c r="A65">
        <v>87</v>
      </c>
      <c r="B65">
        <v>322830</v>
      </c>
      <c r="C65">
        <f t="shared" si="3"/>
        <v>37366</v>
      </c>
      <c r="D65">
        <f t="shared" si="4"/>
        <v>0.11574512901527119</v>
      </c>
      <c r="E65">
        <f t="shared" si="2"/>
        <v>0.32471007131290169</v>
      </c>
    </row>
    <row r="66" spans="1:5" x14ac:dyDescent="0.25">
      <c r="A66">
        <v>88</v>
      </c>
      <c r="B66">
        <v>285464</v>
      </c>
      <c r="C66">
        <f t="shared" ref="C66:C77" si="5">B66-B67</f>
        <v>36271</v>
      </c>
      <c r="D66">
        <f t="shared" ref="D66:D78" si="6">C66/B66</f>
        <v>0.12705980438864445</v>
      </c>
      <c r="E66">
        <f t="shared" si="2"/>
        <v>0.287126462216232</v>
      </c>
    </row>
    <row r="67" spans="1:5" x14ac:dyDescent="0.25">
      <c r="A67">
        <v>89</v>
      </c>
      <c r="B67">
        <v>249193</v>
      </c>
      <c r="C67">
        <f t="shared" si="5"/>
        <v>34710</v>
      </c>
      <c r="D67">
        <f t="shared" si="6"/>
        <v>0.13928962691568383</v>
      </c>
      <c r="E67">
        <f t="shared" ref="E67:E78" si="7">B67/$B$2</f>
        <v>0.25064423009223402</v>
      </c>
    </row>
    <row r="68" spans="1:5" x14ac:dyDescent="0.25">
      <c r="A68">
        <v>90</v>
      </c>
      <c r="B68">
        <v>214483</v>
      </c>
      <c r="C68">
        <f t="shared" si="5"/>
        <v>32704</v>
      </c>
      <c r="D68">
        <f t="shared" si="6"/>
        <v>0.15247828499228377</v>
      </c>
      <c r="E68">
        <f t="shared" si="7"/>
        <v>0.21573208879411795</v>
      </c>
    </row>
    <row r="69" spans="1:5" x14ac:dyDescent="0.25">
      <c r="A69">
        <v>91</v>
      </c>
      <c r="B69">
        <v>181779</v>
      </c>
      <c r="C69">
        <f t="shared" si="5"/>
        <v>30298</v>
      </c>
      <c r="D69">
        <f t="shared" si="6"/>
        <v>0.16667491844492488</v>
      </c>
      <c r="E69">
        <f t="shared" si="7"/>
        <v>0.18283762987698776</v>
      </c>
    </row>
    <row r="70" spans="1:5" x14ac:dyDescent="0.25">
      <c r="A70">
        <v>92</v>
      </c>
      <c r="B70">
        <v>151481</v>
      </c>
      <c r="C70">
        <f t="shared" si="5"/>
        <v>27557</v>
      </c>
      <c r="D70">
        <f t="shared" si="6"/>
        <v>0.18191720413781265</v>
      </c>
      <c r="E70">
        <f t="shared" si="7"/>
        <v>0.15236318282857747</v>
      </c>
    </row>
    <row r="71" spans="1:5" x14ac:dyDescent="0.25">
      <c r="A71">
        <v>93</v>
      </c>
      <c r="B71">
        <v>123924</v>
      </c>
      <c r="C71">
        <f t="shared" si="5"/>
        <v>24568</v>
      </c>
      <c r="D71">
        <f t="shared" si="6"/>
        <v>0.1982505406539492</v>
      </c>
      <c r="E71">
        <f t="shared" si="7"/>
        <v>0.12464569859486427</v>
      </c>
    </row>
    <row r="72" spans="1:5" x14ac:dyDescent="0.25">
      <c r="A72">
        <v>94</v>
      </c>
      <c r="B72">
        <v>99356</v>
      </c>
      <c r="C72">
        <f t="shared" si="5"/>
        <v>21432</v>
      </c>
      <c r="D72">
        <f t="shared" si="6"/>
        <v>0.21570916703570997</v>
      </c>
      <c r="E72">
        <f t="shared" si="7"/>
        <v>9.9934621458243222E-2</v>
      </c>
    </row>
    <row r="73" spans="1:5" x14ac:dyDescent="0.25">
      <c r="A73">
        <v>95</v>
      </c>
      <c r="B73">
        <v>77924</v>
      </c>
      <c r="C73">
        <f t="shared" si="5"/>
        <v>18259</v>
      </c>
      <c r="D73">
        <f t="shared" si="6"/>
        <v>0.23431805348801396</v>
      </c>
      <c r="E73">
        <f t="shared" si="7"/>
        <v>7.8377807505456587E-2</v>
      </c>
    </row>
    <row r="74" spans="1:5" x14ac:dyDescent="0.25">
      <c r="A74">
        <v>96</v>
      </c>
      <c r="B74">
        <v>59665</v>
      </c>
      <c r="C74">
        <f t="shared" si="5"/>
        <v>15163</v>
      </c>
      <c r="D74">
        <f t="shared" si="6"/>
        <v>0.25413559037961952</v>
      </c>
      <c r="E74">
        <f t="shared" si="7"/>
        <v>6.0012472214119754E-2</v>
      </c>
    </row>
    <row r="75" spans="1:5" x14ac:dyDescent="0.25">
      <c r="A75">
        <v>97</v>
      </c>
      <c r="B75">
        <v>44502</v>
      </c>
      <c r="C75">
        <f t="shared" si="5"/>
        <v>12244</v>
      </c>
      <c r="D75">
        <f t="shared" si="6"/>
        <v>0.27513370185609637</v>
      </c>
      <c r="E75">
        <f t="shared" si="7"/>
        <v>4.4761167157843916E-2</v>
      </c>
    </row>
    <row r="76" spans="1:5" x14ac:dyDescent="0.25">
      <c r="A76">
        <v>98</v>
      </c>
      <c r="B76">
        <v>32258</v>
      </c>
      <c r="C76">
        <f t="shared" si="5"/>
        <v>9593</v>
      </c>
      <c r="D76">
        <f t="shared" si="6"/>
        <v>0.29738359476718951</v>
      </c>
      <c r="E76">
        <f t="shared" si="7"/>
        <v>3.2445861538306794E-2</v>
      </c>
    </row>
    <row r="77" spans="1:5" x14ac:dyDescent="0.25">
      <c r="A77">
        <v>99</v>
      </c>
      <c r="B77">
        <v>22665</v>
      </c>
      <c r="C77">
        <f t="shared" si="5"/>
        <v>7272</v>
      </c>
      <c r="D77">
        <f t="shared" si="6"/>
        <v>0.32084712111184643</v>
      </c>
      <c r="E77">
        <f t="shared" si="7"/>
        <v>2.2796994598726628E-2</v>
      </c>
    </row>
    <row r="78" spans="1:5" x14ac:dyDescent="0.25">
      <c r="A78">
        <v>100</v>
      </c>
      <c r="B78">
        <v>15393</v>
      </c>
      <c r="C78">
        <f>B78</f>
        <v>15393</v>
      </c>
      <c r="D78">
        <f t="shared" si="6"/>
        <v>1</v>
      </c>
      <c r="E78">
        <f t="shared" si="7"/>
        <v>1.5482644511722876E-2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Insurance Summary</vt:lpstr>
      <vt:lpstr>Life Table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type_ok_login</dc:creator>
  <cp:lastModifiedBy>type_ok_login</cp:lastModifiedBy>
  <dcterms:created xsi:type="dcterms:W3CDTF">2016-08-15T07:48:01Z</dcterms:created>
  <dcterms:modified xsi:type="dcterms:W3CDTF">2016-08-16T14:35:14Z</dcterms:modified>
</cp:coreProperties>
</file>